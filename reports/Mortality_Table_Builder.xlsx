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or" sheetId="2" state="visible" r:id="rId2"/>
    <sheet name="Table_M" sheetId="3" state="visible" r:id="rId3"/>
    <sheet name="Table_F" sheetId="4" state="visible" r:id="rId4"/>
    <sheet name="Table_CNSF" sheetId="5" state="visible" r:id="rId5"/>
    <sheet name="Rate_Card" sheetId="6" state="visible" r:id="rId6"/>
    <sheet name="Excess_Mortality" sheetId="7" state="visible" r:id="rId7"/>
    <sheet name="Annuity_Stress" sheetId="8" state="visible" r:id="rId8"/>
    <sheet name="Table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"/>
    <numFmt numFmtId="166" formatCode="0.000000"/>
    <numFmt numFmtId="167" formatCode="0.000"/>
    <numFmt numFmtId="168" formatCode="0.0%"/>
    <numFmt numFmtId="169" formatCode="+0.0%;-0.0%"/>
    <numFmt numFmtId="170" formatCode="0.0000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b val="1"/>
      <color rgb="001F4FBF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E8F1FC"/>
      </patternFill>
    </fill>
    <fill>
      <patternFill patternType="solid">
        <fgColor rgb="00F1F0EC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pivotButton="0" quotePrefix="0" xfId="0"/>
    <xf numFmtId="10" fontId="4" fillId="2" borderId="0" pivotButton="0" quotePrefix="0" xfId="0"/>
    <xf numFmtId="3" fontId="4" fillId="2" borderId="0" pivotButton="0" quotePrefix="0" xfId="0"/>
    <xf numFmtId="0" fontId="2" fillId="0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3" fontId="0" fillId="3" borderId="0" pivotButton="0" quotePrefix="0" xfId="0"/>
    <xf numFmtId="167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7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Mortality Table Builder: actuarial workbook</t>
        </is>
      </c>
    </row>
    <row r="2">
      <c r="A2" s="2" t="inlineStr">
        <is>
          <t>Mexico's life tables with live commutation functions. Source: github.com/deadmigue55/Mortality-Table-Builder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Open the Calculator sheet. Blue cells are inputs: table, issue age, interest rate, term, sum assured.</t>
        </is>
      </c>
    </row>
    <row r="6">
      <c r="A6" s="2" t="inlineStr">
        <is>
          <t>2. Table_M, Table_F and Table_CNSF hold qx and the formulas for lx, dx, Dx, Nx, Cx and Mx. Click any cell to audit it.</t>
        </is>
      </c>
    </row>
    <row r="7">
      <c r="A7" s="2" t="inlineStr">
        <is>
          <t>3. Change the interest rate and every commutation column, premium and annuity moves with it.</t>
        </is>
      </c>
    </row>
    <row r="8">
      <c r="A8" s="2" t="inlineStr">
        <is>
          <t>4. Rate_Card, Excess_Mortality, Annuity_Stress and Table_Comparison hold results of the full pipeline as values.</t>
        </is>
      </c>
    </row>
    <row r="9">
      <c r="A9" s="2" t="inlineStr"/>
    </row>
    <row r="10">
      <c r="A10" s="3" t="inlineStr">
        <is>
          <t>What the numbers are</t>
        </is>
      </c>
    </row>
    <row r="11">
      <c r="A11" s="2" t="inlineStr">
        <is>
          <t>Tables: INEGI registered deaths and CONAPO population, completed for late registration and graduated (P-spline), year 2023.</t>
        </is>
      </c>
    </row>
    <row r="12">
      <c r="A12" s="2" t="inlineStr">
        <is>
          <t>CNSF 2013: the regulatory mortality table in force (mixed-sex). Net premiums here are mortality and interest only.</t>
        </is>
      </c>
    </row>
    <row r="13">
      <c r="A13" s="2" t="inlineStr">
        <is>
          <t>Rate_Card and Annuity_Stress use illustrative expense, commission and lapse assumptions and a synthetic book: methods, not a quote.</t>
        </is>
      </c>
    </row>
    <row r="14">
      <c r="A14" s="2" t="inlineStr"/>
    </row>
    <row r="15">
      <c r="A15" s="3" t="inlineStr">
        <is>
          <t>Audit</t>
        </is>
      </c>
    </row>
    <row r="16">
      <c r="A16" s="2" t="inlineStr">
        <is>
          <t>This workbook is recomputed by an independent formula engine in the project's tests and compared with the Python functions.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8" customWidth="1" min="4" max="4"/>
  </cols>
  <sheetData>
    <row r="1">
      <c r="A1" s="4" t="inlineStr">
        <is>
          <t>Actuarial calculator</t>
        </is>
      </c>
    </row>
    <row r="2">
      <c r="A2" t="inlineStr">
        <is>
          <t>Blue cells are inputs. Everything else is a live formula on the Table_ sheets.</t>
        </is>
      </c>
      <c r="D2" t="inlineStr">
        <is>
          <t>Tables</t>
        </is>
      </c>
    </row>
    <row r="3">
      <c r="A3" t="inlineStr">
        <is>
          <t>Mortality table</t>
        </is>
      </c>
      <c r="B3" s="5" t="inlineStr">
        <is>
          <t>Mexico 2023, men</t>
        </is>
      </c>
      <c r="D3" t="inlineStr">
        <is>
          <t>Mexico 2023, men</t>
        </is>
      </c>
    </row>
    <row r="4">
      <c r="A4" t="inlineStr">
        <is>
          <t>Issue age x</t>
        </is>
      </c>
      <c r="B4" s="5" t="n">
        <v>40</v>
      </c>
      <c r="D4" t="inlineStr">
        <is>
          <t>Mexico 2023, women</t>
        </is>
      </c>
    </row>
    <row r="5">
      <c r="A5" t="inlineStr">
        <is>
          <t>Interest rate i</t>
        </is>
      </c>
      <c r="B5" s="6" t="n">
        <v>0.04</v>
      </c>
      <c r="D5" t="inlineStr">
        <is>
          <t>CNSF 2013 (regulatory)</t>
        </is>
      </c>
    </row>
    <row r="6">
      <c r="A6" t="inlineStr">
        <is>
          <t>Term n (years)</t>
        </is>
      </c>
      <c r="B6" s="5" t="n">
        <v>20</v>
      </c>
    </row>
    <row r="7">
      <c r="A7" t="inlineStr">
        <is>
          <t>Sum assured (MXN)</t>
        </is>
      </c>
      <c r="B7" s="7" t="n">
        <v>1000000</v>
      </c>
    </row>
    <row r="9">
      <c r="A9" t="inlineStr">
        <is>
          <t>Table number (helper)</t>
        </is>
      </c>
      <c r="B9">
        <f>MATCH(B3, D3:D5, 0)</f>
        <v/>
      </c>
    </row>
    <row r="10">
      <c r="A10" t="inlineStr">
        <is>
          <t>Position of age x (helper)</t>
        </is>
      </c>
      <c r="B10">
        <f>B4+1</f>
        <v/>
      </c>
    </row>
    <row r="11">
      <c r="A11" t="inlineStr">
        <is>
          <t>Position of age x + n (helper)</t>
        </is>
      </c>
      <c r="B11">
        <f>MIN(B4+B6,110)+1</f>
        <v/>
      </c>
    </row>
    <row r="12">
      <c r="A12" s="8" t="inlineStr">
        <is>
          <t>Results</t>
        </is>
      </c>
    </row>
    <row r="13">
      <c r="A13" t="inlineStr">
        <is>
          <t>Curtate life expectancy e(x), years</t>
        </is>
      </c>
      <c r="B13" s="9">
        <f>CHOOSE($B$9, SUMIF(Table_M!$A$2:$A$112, "&gt;"&amp;$B$4, Table_M!$C$2:$C$112), SUMIF(Table_F!$A$2:$A$112, "&gt;"&amp;$B$4, Table_F!$C$2:$C$112), SUMIF(Table_CNSF!$A$2:$A$112, "&gt;"&amp;$B$4, Table_CNSF!$C$2:$C$112))/(CHOOSE($B$9, INDEX(Table_M!$C$2:$C$112, $B$10), INDEX(Table_F!$C$2:$C$112, $B$10), INDEX(Table_CNSF!$C$2:$C$112, $B$10)))</f>
        <v/>
      </c>
    </row>
    <row r="14">
      <c r="A14" t="inlineStr">
        <is>
          <t>Whole-life insurance A(x), per unit</t>
        </is>
      </c>
      <c r="B14" s="10">
        <f>(CHOOSE($B$9, INDEX(Table_M!$H$2:$H$112, $B$10), INDEX(Table_F!$H$2:$H$112, $B$10), INDEX(Table_CNSF!$H$2:$H$112, $B$10)))/(CHOOSE($B$9, INDEX(Table_M!$E$2:$E$112, $B$10), INDEX(Table_F!$E$2:$E$112, $B$10), INDEX(Table_CNSF!$E$2:$E$112, $B$10)))</f>
        <v/>
      </c>
    </row>
    <row r="15">
      <c r="A15" t="inlineStr">
        <is>
          <t>Life annuity-due a(x), per unit a year</t>
        </is>
      </c>
      <c r="B15" s="10">
        <f>(CHOOSE($B$9, INDEX(Table_M!$F$2:$F$112, $B$10), INDEX(Table_F!$F$2:$F$112, $B$10), INDEX(Table_CNSF!$F$2:$F$112, $B$10)))/(CHOOSE($B$9, INDEX(Table_M!$E$2:$E$112, $B$10), INDEX(Table_F!$E$2:$E$112, $B$10), INDEX(Table_CNSF!$E$2:$E$112, $B$10)))</f>
        <v/>
      </c>
    </row>
    <row r="16">
      <c r="A16" t="inlineStr">
        <is>
          <t>Term insurance A(x:n), per unit</t>
        </is>
      </c>
      <c r="B16" s="10">
        <f>((CHOOSE($B$9, INDEX(Table_M!$H$2:$H$112, $B$10), INDEX(Table_F!$H$2:$H$112, $B$10), INDEX(Table_CNSF!$H$2:$H$112, $B$10)))-(CHOOSE($B$9, INDEX(Table_M!$H$2:$H$112, $B$11), INDEX(Table_F!$H$2:$H$112, $B$11), INDEX(Table_CNSF!$H$2:$H$112, $B$11))))/(CHOOSE($B$9, INDEX(Table_M!$E$2:$E$112, $B$10), INDEX(Table_F!$E$2:$E$112, $B$10), INDEX(Table_CNSF!$E$2:$E$112, $B$10)))</f>
        <v/>
      </c>
    </row>
    <row r="17">
      <c r="A17" t="inlineStr">
        <is>
          <t>Temporary annuity-due a(x:n)</t>
        </is>
      </c>
      <c r="B17" s="10">
        <f>((CHOOSE($B$9, INDEX(Table_M!$F$2:$F$112, $B$10), INDEX(Table_F!$F$2:$F$112, $B$10), INDEX(Table_CNSF!$F$2:$F$112, $B$10)))-(CHOOSE($B$9, INDEX(Table_M!$F$2:$F$112, $B$11), INDEX(Table_F!$F$2:$F$112, $B$11), INDEX(Table_CNSF!$F$2:$F$112, $B$11))))/(CHOOSE($B$9, INDEX(Table_M!$E$2:$E$112, $B$10), INDEX(Table_F!$E$2:$E$112, $B$10), INDEX(Table_CNSF!$E$2:$E$112, $B$10)))</f>
        <v/>
      </c>
    </row>
    <row r="18">
      <c r="A18" t="inlineStr">
        <is>
          <t>Net annual premium rate, per unit of sum assured</t>
        </is>
      </c>
      <c r="B18" s="11">
        <f>B16/B17</f>
        <v/>
      </c>
    </row>
    <row r="19">
      <c r="A19" t="inlineStr">
        <is>
          <t>Net annual premium, MXN</t>
        </is>
      </c>
      <c r="B19" s="12">
        <f>B18*B7</f>
        <v/>
      </c>
    </row>
    <row r="20">
      <c r="A20" t="inlineStr">
        <is>
          <t>Net premium per 1,000 of sum assured</t>
        </is>
      </c>
      <c r="B20" s="13">
        <f>B18*1000</f>
        <v/>
      </c>
    </row>
    <row r="21">
      <c r="A21" t="inlineStr">
        <is>
          <t>Annuity of 100,000 a year for life, MXN</t>
        </is>
      </c>
      <c r="B21" s="12">
        <f>B15*100000</f>
        <v/>
      </c>
    </row>
    <row r="23" ht="62" customHeight="1">
      <c r="A23" s="14" t="inlineStr">
        <is>
          <t>Net premiums only (mortality and interest, no expenses or profit): the gross premium from the profit test on the Rate_Card sheet adds acquisition cost, commission, maintenance and a target return.</t>
        </is>
      </c>
    </row>
  </sheetData>
  <mergeCells count="1">
    <mergeCell ref="A23:B23"/>
  </mergeCells>
  <dataValidations count="2">
    <dataValidation sqref="B3" showDropDown="0" showInputMessage="0" showErrorMessage="0" allowBlank="0" type="list">
      <formula1>=$D$3:$D$5</formula1>
    </dataValidation>
    <dataValidation sqref="B4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10" max="10"/>
  </cols>
  <sheetData>
    <row r="1">
      <c r="A1" s="15" t="inlineStr">
        <is>
          <t>Age x</t>
        </is>
      </c>
      <c r="B1" s="15" t="inlineStr">
        <is>
          <t>qx</t>
        </is>
      </c>
      <c r="C1" s="15" t="inlineStr">
        <is>
          <t>lx</t>
        </is>
      </c>
      <c r="D1" s="15" t="inlineStr">
        <is>
          <t>dx</t>
        </is>
      </c>
      <c r="E1" s="15" t="inlineStr">
        <is>
          <t>Dx</t>
        </is>
      </c>
      <c r="F1" s="15" t="inlineStr">
        <is>
          <t>Nx</t>
        </is>
      </c>
      <c r="G1" s="15" t="inlineStr">
        <is>
          <t>Cx</t>
        </is>
      </c>
      <c r="H1" s="15" t="inlineStr">
        <is>
          <t>Mx</t>
        </is>
      </c>
      <c r="J1" s="16" t="inlineStr">
        <is>
          <t>Mexico 2023, men</t>
        </is>
      </c>
    </row>
    <row r="2">
      <c r="A2" t="n">
        <v>0</v>
      </c>
      <c r="B2" s="17" t="n">
        <v>0.01041729566442097</v>
      </c>
      <c r="C2" s="18" t="n">
        <v>100000</v>
      </c>
      <c r="D2" s="18">
        <f>C2*B2</f>
        <v/>
      </c>
      <c r="E2" s="18">
        <f>C2*(1/(1+Calculator!$B$5))^A2</f>
        <v/>
      </c>
      <c r="F2" s="18">
        <f>SUM(E2:E$112)</f>
        <v/>
      </c>
      <c r="G2" s="18">
        <f>D2*(1/(1+Calculator!$B$5))^(A2+1)</f>
        <v/>
      </c>
      <c r="H2" s="18">
        <f>SUM(G2:G$112)</f>
        <v/>
      </c>
      <c r="J2" t="inlineStr">
        <is>
          <t>Edit the interest rate on the Calculator sheet.</t>
        </is>
      </c>
    </row>
    <row r="3">
      <c r="A3" t="n">
        <v>1</v>
      </c>
      <c r="B3" s="17" t="n">
        <v>0.0009206286230285512</v>
      </c>
      <c r="C3" s="18">
        <f>C2*(1-B2)</f>
        <v/>
      </c>
      <c r="D3" s="18">
        <f>C3*B3</f>
        <v/>
      </c>
      <c r="E3" s="18">
        <f>C3*(1/(1+Calculator!$B$5))^A3</f>
        <v/>
      </c>
      <c r="F3" s="18">
        <f>SUM(E3:E$112)</f>
        <v/>
      </c>
      <c r="G3" s="18">
        <f>D3*(1/(1+Calculator!$B$5))^(A3+1)</f>
        <v/>
      </c>
      <c r="H3" s="18">
        <f>SUM(G3:G$112)</f>
        <v/>
      </c>
    </row>
    <row r="4">
      <c r="A4" t="n">
        <v>2</v>
      </c>
      <c r="B4" s="17" t="n">
        <v>0.0005676682333766289</v>
      </c>
      <c r="C4" s="18">
        <f>C3*(1-B3)</f>
        <v/>
      </c>
      <c r="D4" s="18">
        <f>C4*B4</f>
        <v/>
      </c>
      <c r="E4" s="18">
        <f>C4*(1/(1+Calculator!$B$5))^A4</f>
        <v/>
      </c>
      <c r="F4" s="18">
        <f>SUM(E4:E$112)</f>
        <v/>
      </c>
      <c r="G4" s="18">
        <f>D4*(1/(1+Calculator!$B$5))^(A4+1)</f>
        <v/>
      </c>
      <c r="H4" s="18">
        <f>SUM(G4:G$112)</f>
        <v/>
      </c>
    </row>
    <row r="5">
      <c r="A5" t="n">
        <v>3</v>
      </c>
      <c r="B5" s="17" t="n">
        <v>0.0003900031096036126</v>
      </c>
      <c r="C5" s="18">
        <f>C4*(1-B4)</f>
        <v/>
      </c>
      <c r="D5" s="18">
        <f>C5*B5</f>
        <v/>
      </c>
      <c r="E5" s="18">
        <f>C5*(1/(1+Calculator!$B$5))^A5</f>
        <v/>
      </c>
      <c r="F5" s="18">
        <f>SUM(E5:E$112)</f>
        <v/>
      </c>
      <c r="G5" s="18">
        <f>D5*(1/(1+Calculator!$B$5))^(A5+1)</f>
        <v/>
      </c>
      <c r="H5" s="18">
        <f>SUM(G5:G$112)</f>
        <v/>
      </c>
    </row>
    <row r="6">
      <c r="A6" t="n">
        <v>4</v>
      </c>
      <c r="B6" s="17" t="n">
        <v>0.0003082496140833928</v>
      </c>
      <c r="C6" s="18">
        <f>C5*(1-B5)</f>
        <v/>
      </c>
      <c r="D6" s="18">
        <f>C6*B6</f>
        <v/>
      </c>
      <c r="E6" s="18">
        <f>C6*(1/(1+Calculator!$B$5))^A6</f>
        <v/>
      </c>
      <c r="F6" s="18">
        <f>SUM(E6:E$112)</f>
        <v/>
      </c>
      <c r="G6" s="18">
        <f>D6*(1/(1+Calculator!$B$5))^(A6+1)</f>
        <v/>
      </c>
      <c r="H6" s="18">
        <f>SUM(G6:G$112)</f>
        <v/>
      </c>
    </row>
    <row r="7">
      <c r="A7" t="n">
        <v>5</v>
      </c>
      <c r="B7" s="17" t="n">
        <v>0.0002732772040350677</v>
      </c>
      <c r="C7" s="18">
        <f>C6*(1-B6)</f>
        <v/>
      </c>
      <c r="D7" s="18">
        <f>C7*B7</f>
        <v/>
      </c>
      <c r="E7" s="18">
        <f>C7*(1/(1+Calculator!$B$5))^A7</f>
        <v/>
      </c>
      <c r="F7" s="18">
        <f>SUM(E7:E$112)</f>
        <v/>
      </c>
      <c r="G7" s="18">
        <f>D7*(1/(1+Calculator!$B$5))^(A7+1)</f>
        <v/>
      </c>
      <c r="H7" s="18">
        <f>SUM(G7:G$112)</f>
        <v/>
      </c>
    </row>
    <row r="8">
      <c r="A8" t="n">
        <v>6</v>
      </c>
      <c r="B8" s="17" t="n">
        <v>0.000258500188483648</v>
      </c>
      <c r="C8" s="18">
        <f>C7*(1-B7)</f>
        <v/>
      </c>
      <c r="D8" s="18">
        <f>C8*B8</f>
        <v/>
      </c>
      <c r="E8" s="18">
        <f>C8*(1/(1+Calculator!$B$5))^A8</f>
        <v/>
      </c>
      <c r="F8" s="18">
        <f>SUM(E8:E$112)</f>
        <v/>
      </c>
      <c r="G8" s="18">
        <f>D8*(1/(1+Calculator!$B$5))^(A8+1)</f>
        <v/>
      </c>
      <c r="H8" s="18">
        <f>SUM(G8:G$112)</f>
        <v/>
      </c>
    </row>
    <row r="9">
      <c r="A9" t="n">
        <v>7</v>
      </c>
      <c r="B9" s="17" t="n">
        <v>0.0002519682432844359</v>
      </c>
      <c r="C9" s="18">
        <f>C8*(1-B8)</f>
        <v/>
      </c>
      <c r="D9" s="18">
        <f>C9*B9</f>
        <v/>
      </c>
      <c r="E9" s="18">
        <f>C9*(1/(1+Calculator!$B$5))^A9</f>
        <v/>
      </c>
      <c r="F9" s="18">
        <f>SUM(E9:E$112)</f>
        <v/>
      </c>
      <c r="G9" s="18">
        <f>D9*(1/(1+Calculator!$B$5))^(A9+1)</f>
        <v/>
      </c>
      <c r="H9" s="18">
        <f>SUM(G9:G$112)</f>
        <v/>
      </c>
    </row>
    <row r="10">
      <c r="A10" t="n">
        <v>8</v>
      </c>
      <c r="B10" s="17" t="n">
        <v>0.0002474343996655332</v>
      </c>
      <c r="C10" s="18">
        <f>C9*(1-B9)</f>
        <v/>
      </c>
      <c r="D10" s="18">
        <f>C10*B10</f>
        <v/>
      </c>
      <c r="E10" s="18">
        <f>C10*(1/(1+Calculator!$B$5))^A10</f>
        <v/>
      </c>
      <c r="F10" s="18">
        <f>SUM(E10:E$112)</f>
        <v/>
      </c>
      <c r="G10" s="18">
        <f>D10*(1/(1+Calculator!$B$5))^(A10+1)</f>
        <v/>
      </c>
      <c r="H10" s="18">
        <f>SUM(G10:G$112)</f>
        <v/>
      </c>
    </row>
    <row r="11">
      <c r="A11" t="n">
        <v>9</v>
      </c>
      <c r="B11" s="17" t="n">
        <v>0.0002442422705099489</v>
      </c>
      <c r="C11" s="18">
        <f>C10*(1-B10)</f>
        <v/>
      </c>
      <c r="D11" s="18">
        <f>C11*B11</f>
        <v/>
      </c>
      <c r="E11" s="18">
        <f>C11*(1/(1+Calculator!$B$5))^A11</f>
        <v/>
      </c>
      <c r="F11" s="18">
        <f>SUM(E11:E$112)</f>
        <v/>
      </c>
      <c r="G11" s="18">
        <f>D11*(1/(1+Calculator!$B$5))^(A11+1)</f>
        <v/>
      </c>
      <c r="H11" s="18">
        <f>SUM(G11:G$112)</f>
        <v/>
      </c>
    </row>
    <row r="12">
      <c r="A12" t="n">
        <v>10</v>
      </c>
      <c r="B12" s="17" t="n">
        <v>0.0002481548633647994</v>
      </c>
      <c r="C12" s="18">
        <f>C11*(1-B11)</f>
        <v/>
      </c>
      <c r="D12" s="18">
        <f>C12*B12</f>
        <v/>
      </c>
      <c r="E12" s="18">
        <f>C12*(1/(1+Calculator!$B$5))^A12</f>
        <v/>
      </c>
      <c r="F12" s="18">
        <f>SUM(E12:E$112)</f>
        <v/>
      </c>
      <c r="G12" s="18">
        <f>D12*(1/(1+Calculator!$B$5))^(A12+1)</f>
        <v/>
      </c>
      <c r="H12" s="18">
        <f>SUM(G12:G$112)</f>
        <v/>
      </c>
    </row>
    <row r="13">
      <c r="A13" t="n">
        <v>11</v>
      </c>
      <c r="B13" s="17" t="n">
        <v>0.0002657748645445596</v>
      </c>
      <c r="C13" s="18">
        <f>C12*(1-B12)</f>
        <v/>
      </c>
      <c r="D13" s="18">
        <f>C13*B13</f>
        <v/>
      </c>
      <c r="E13" s="18">
        <f>C13*(1/(1+Calculator!$B$5))^A13</f>
        <v/>
      </c>
      <c r="F13" s="18">
        <f>SUM(E13:E$112)</f>
        <v/>
      </c>
      <c r="G13" s="18">
        <f>D13*(1/(1+Calculator!$B$5))^(A13+1)</f>
        <v/>
      </c>
      <c r="H13" s="18">
        <f>SUM(G13:G$112)</f>
        <v/>
      </c>
    </row>
    <row r="14">
      <c r="A14" t="n">
        <v>12</v>
      </c>
      <c r="B14" s="17" t="n">
        <v>0.0003061811151047777</v>
      </c>
      <c r="C14" s="18">
        <f>C13*(1-B13)</f>
        <v/>
      </c>
      <c r="D14" s="18">
        <f>C14*B14</f>
        <v/>
      </c>
      <c r="E14" s="18">
        <f>C14*(1/(1+Calculator!$B$5))^A14</f>
        <v/>
      </c>
      <c r="F14" s="18">
        <f>SUM(E14:E$112)</f>
        <v/>
      </c>
      <c r="G14" s="18">
        <f>D14*(1/(1+Calculator!$B$5))^(A14+1)</f>
        <v/>
      </c>
      <c r="H14" s="18">
        <f>SUM(G14:G$112)</f>
        <v/>
      </c>
    </row>
    <row r="15">
      <c r="A15" t="n">
        <v>13</v>
      </c>
      <c r="B15" s="17" t="n">
        <v>0.0003836863344619241</v>
      </c>
      <c r="C15" s="18">
        <f>C14*(1-B14)</f>
        <v/>
      </c>
      <c r="D15" s="18">
        <f>C15*B15</f>
        <v/>
      </c>
      <c r="E15" s="18">
        <f>C15*(1/(1+Calculator!$B$5))^A15</f>
        <v/>
      </c>
      <c r="F15" s="18">
        <f>SUM(E15:E$112)</f>
        <v/>
      </c>
      <c r="G15" s="18">
        <f>D15*(1/(1+Calculator!$B$5))^(A15+1)</f>
        <v/>
      </c>
      <c r="H15" s="18">
        <f>SUM(G15:G$112)</f>
        <v/>
      </c>
    </row>
    <row r="16">
      <c r="A16" t="n">
        <v>14</v>
      </c>
      <c r="B16" s="17" t="n">
        <v>0.0005111189285349203</v>
      </c>
      <c r="C16" s="18">
        <f>C15*(1-B15)</f>
        <v/>
      </c>
      <c r="D16" s="18">
        <f>C16*B16</f>
        <v/>
      </c>
      <c r="E16" s="18">
        <f>C16*(1/(1+Calculator!$B$5))^A16</f>
        <v/>
      </c>
      <c r="F16" s="18">
        <f>SUM(E16:E$112)</f>
        <v/>
      </c>
      <c r="G16" s="18">
        <f>D16*(1/(1+Calculator!$B$5))^(A16+1)</f>
        <v/>
      </c>
      <c r="H16" s="18">
        <f>SUM(G16:G$112)</f>
        <v/>
      </c>
    </row>
    <row r="17">
      <c r="A17" t="n">
        <v>15</v>
      </c>
      <c r="B17" s="17" t="n">
        <v>0.000700459130007163</v>
      </c>
      <c r="C17" s="18">
        <f>C16*(1-B16)</f>
        <v/>
      </c>
      <c r="D17" s="18">
        <f>C17*B17</f>
        <v/>
      </c>
      <c r="E17" s="18">
        <f>C17*(1/(1+Calculator!$B$5))^A17</f>
        <v/>
      </c>
      <c r="F17" s="18">
        <f>SUM(E17:E$112)</f>
        <v/>
      </c>
      <c r="G17" s="18">
        <f>D17*(1/(1+Calculator!$B$5))^(A17+1)</f>
        <v/>
      </c>
      <c r="H17" s="18">
        <f>SUM(G17:G$112)</f>
        <v/>
      </c>
    </row>
    <row r="18">
      <c r="A18" t="n">
        <v>16</v>
      </c>
      <c r="B18" s="17" t="n">
        <v>0.0009470498853274199</v>
      </c>
      <c r="C18" s="18">
        <f>C17*(1-B17)</f>
        <v/>
      </c>
      <c r="D18" s="18">
        <f>C18*B18</f>
        <v/>
      </c>
      <c r="E18" s="18">
        <f>C18*(1/(1+Calculator!$B$5))^A18</f>
        <v/>
      </c>
      <c r="F18" s="18">
        <f>SUM(E18:E$112)</f>
        <v/>
      </c>
      <c r="G18" s="18">
        <f>D18*(1/(1+Calculator!$B$5))^(A18+1)</f>
        <v/>
      </c>
      <c r="H18" s="18">
        <f>SUM(G18:G$112)</f>
        <v/>
      </c>
    </row>
    <row r="19">
      <c r="A19" t="n">
        <v>17</v>
      </c>
      <c r="B19" s="17" t="n">
        <v>0.00120908369218716</v>
      </c>
      <c r="C19" s="18">
        <f>C18*(1-B18)</f>
        <v/>
      </c>
      <c r="D19" s="18">
        <f>C19*B19</f>
        <v/>
      </c>
      <c r="E19" s="18">
        <f>C19*(1/(1+Calculator!$B$5))^A19</f>
        <v/>
      </c>
      <c r="F19" s="18">
        <f>SUM(E19:E$112)</f>
        <v/>
      </c>
      <c r="G19" s="18">
        <f>D19*(1/(1+Calculator!$B$5))^(A19+1)</f>
        <v/>
      </c>
      <c r="H19" s="18">
        <f>SUM(G19:G$112)</f>
        <v/>
      </c>
    </row>
    <row r="20">
      <c r="A20" t="n">
        <v>18</v>
      </c>
      <c r="B20" s="17" t="n">
        <v>0.00143976710299932</v>
      </c>
      <c r="C20" s="18">
        <f>C19*(1-B19)</f>
        <v/>
      </c>
      <c r="D20" s="18">
        <f>C20*B20</f>
        <v/>
      </c>
      <c r="E20" s="18">
        <f>C20*(1/(1+Calculator!$B$5))^A20</f>
        <v/>
      </c>
      <c r="F20" s="18">
        <f>SUM(E20:E$112)</f>
        <v/>
      </c>
      <c r="G20" s="18">
        <f>D20*(1/(1+Calculator!$B$5))^(A20+1)</f>
        <v/>
      </c>
      <c r="H20" s="18">
        <f>SUM(G20:G$112)</f>
        <v/>
      </c>
    </row>
    <row r="21">
      <c r="A21" t="n">
        <v>19</v>
      </c>
      <c r="B21" s="17" t="n">
        <v>0.001618583058322855</v>
      </c>
      <c r="C21" s="18">
        <f>C20*(1-B20)</f>
        <v/>
      </c>
      <c r="D21" s="18">
        <f>C21*B21</f>
        <v/>
      </c>
      <c r="E21" s="18">
        <f>C21*(1/(1+Calculator!$B$5))^A21</f>
        <v/>
      </c>
      <c r="F21" s="18">
        <f>SUM(E21:E$112)</f>
        <v/>
      </c>
      <c r="G21" s="18">
        <f>D21*(1/(1+Calculator!$B$5))^(A21+1)</f>
        <v/>
      </c>
      <c r="H21" s="18">
        <f>SUM(G21:G$112)</f>
        <v/>
      </c>
    </row>
    <row r="22">
      <c r="A22" t="n">
        <v>20</v>
      </c>
      <c r="B22" s="17" t="n">
        <v>0.001748171067330131</v>
      </c>
      <c r="C22" s="18">
        <f>C21*(1-B21)</f>
        <v/>
      </c>
      <c r="D22" s="18">
        <f>C22*B22</f>
        <v/>
      </c>
      <c r="E22" s="18">
        <f>C22*(1/(1+Calculator!$B$5))^A22</f>
        <v/>
      </c>
      <c r="F22" s="18">
        <f>SUM(E22:E$112)</f>
        <v/>
      </c>
      <c r="G22" s="18">
        <f>D22*(1/(1+Calculator!$B$5))^(A22+1)</f>
        <v/>
      </c>
      <c r="H22" s="18">
        <f>SUM(G22:G$112)</f>
        <v/>
      </c>
    </row>
    <row r="23">
      <c r="A23" t="n">
        <v>21</v>
      </c>
      <c r="B23" s="17" t="n">
        <v>0.001857440563455722</v>
      </c>
      <c r="C23" s="18">
        <f>C22*(1-B22)</f>
        <v/>
      </c>
      <c r="D23" s="18">
        <f>C23*B23</f>
        <v/>
      </c>
      <c r="E23" s="18">
        <f>C23*(1/(1+Calculator!$B$5))^A23</f>
        <v/>
      </c>
      <c r="F23" s="18">
        <f>SUM(E23:E$112)</f>
        <v/>
      </c>
      <c r="G23" s="18">
        <f>D23*(1/(1+Calculator!$B$5))^(A23+1)</f>
        <v/>
      </c>
      <c r="H23" s="18">
        <f>SUM(G23:G$112)</f>
        <v/>
      </c>
    </row>
    <row r="24">
      <c r="A24" t="n">
        <v>22</v>
      </c>
      <c r="B24" s="17" t="n">
        <v>0.001971501228364339</v>
      </c>
      <c r="C24" s="18">
        <f>C23*(1-B23)</f>
        <v/>
      </c>
      <c r="D24" s="18">
        <f>C24*B24</f>
        <v/>
      </c>
      <c r="E24" s="18">
        <f>C24*(1/(1+Calculator!$B$5))^A24</f>
        <v/>
      </c>
      <c r="F24" s="18">
        <f>SUM(E24:E$112)</f>
        <v/>
      </c>
      <c r="G24" s="18">
        <f>D24*(1/(1+Calculator!$B$5))^(A24+1)</f>
        <v/>
      </c>
      <c r="H24" s="18">
        <f>SUM(G24:G$112)</f>
        <v/>
      </c>
    </row>
    <row r="25">
      <c r="A25" t="n">
        <v>23</v>
      </c>
      <c r="B25" s="17" t="n">
        <v>0.002081876607876565</v>
      </c>
      <c r="C25" s="18">
        <f>C24*(1-B24)</f>
        <v/>
      </c>
      <c r="D25" s="18">
        <f>C25*B25</f>
        <v/>
      </c>
      <c r="E25" s="18">
        <f>C25*(1/(1+Calculator!$B$5))^A25</f>
        <v/>
      </c>
      <c r="F25" s="18">
        <f>SUM(E25:E$112)</f>
        <v/>
      </c>
      <c r="G25" s="18">
        <f>D25*(1/(1+Calculator!$B$5))^(A25+1)</f>
        <v/>
      </c>
      <c r="H25" s="18">
        <f>SUM(G25:G$112)</f>
        <v/>
      </c>
    </row>
    <row r="26">
      <c r="A26" t="n">
        <v>24</v>
      </c>
      <c r="B26" s="17" t="n">
        <v>0.002177499626698837</v>
      </c>
      <c r="C26" s="18">
        <f>C25*(1-B25)</f>
        <v/>
      </c>
      <c r="D26" s="18">
        <f>C26*B26</f>
        <v/>
      </c>
      <c r="E26" s="18">
        <f>C26*(1/(1+Calculator!$B$5))^A26</f>
        <v/>
      </c>
      <c r="F26" s="18">
        <f>SUM(E26:E$112)</f>
        <v/>
      </c>
      <c r="G26" s="18">
        <f>D26*(1/(1+Calculator!$B$5))^(A26+1)</f>
        <v/>
      </c>
      <c r="H26" s="18">
        <f>SUM(G26:G$112)</f>
        <v/>
      </c>
    </row>
    <row r="27">
      <c r="A27" t="n">
        <v>25</v>
      </c>
      <c r="B27" s="17" t="n">
        <v>0.002266325866507454</v>
      </c>
      <c r="C27" s="18">
        <f>C26*(1-B26)</f>
        <v/>
      </c>
      <c r="D27" s="18">
        <f>C27*B27</f>
        <v/>
      </c>
      <c r="E27" s="18">
        <f>C27*(1/(1+Calculator!$B$5))^A27</f>
        <v/>
      </c>
      <c r="F27" s="18">
        <f>SUM(E27:E$112)</f>
        <v/>
      </c>
      <c r="G27" s="18">
        <f>D27*(1/(1+Calculator!$B$5))^(A27+1)</f>
        <v/>
      </c>
      <c r="H27" s="18">
        <f>SUM(G27:G$112)</f>
        <v/>
      </c>
    </row>
    <row r="28">
      <c r="A28" t="n">
        <v>26</v>
      </c>
      <c r="B28" s="17" t="n">
        <v>0.002362818265757744</v>
      </c>
      <c r="C28" s="18">
        <f>C27*(1-B27)</f>
        <v/>
      </c>
      <c r="D28" s="18">
        <f>C28*B28</f>
        <v/>
      </c>
      <c r="E28" s="18">
        <f>C28*(1/(1+Calculator!$B$5))^A28</f>
        <v/>
      </c>
      <c r="F28" s="18">
        <f>SUM(E28:E$112)</f>
        <v/>
      </c>
      <c r="G28" s="18">
        <f>D28*(1/(1+Calculator!$B$5))^(A28+1)</f>
        <v/>
      </c>
      <c r="H28" s="18">
        <f>SUM(G28:G$112)</f>
        <v/>
      </c>
    </row>
    <row r="29">
      <c r="A29" t="n">
        <v>27</v>
      </c>
      <c r="B29" s="17" t="n">
        <v>0.002479020612589077</v>
      </c>
      <c r="C29" s="18">
        <f>C28*(1-B28)</f>
        <v/>
      </c>
      <c r="D29" s="18">
        <f>C29*B29</f>
        <v/>
      </c>
      <c r="E29" s="18">
        <f>C29*(1/(1+Calculator!$B$5))^A29</f>
        <v/>
      </c>
      <c r="F29" s="18">
        <f>SUM(E29:E$112)</f>
        <v/>
      </c>
      <c r="G29" s="18">
        <f>D29*(1/(1+Calculator!$B$5))^(A29+1)</f>
        <v/>
      </c>
      <c r="H29" s="18">
        <f>SUM(G29:G$112)</f>
        <v/>
      </c>
    </row>
    <row r="30">
      <c r="A30" t="n">
        <v>28</v>
      </c>
      <c r="B30" s="17" t="n">
        <v>0.00262431337895337</v>
      </c>
      <c r="C30" s="18">
        <f>C29*(1-B29)</f>
        <v/>
      </c>
      <c r="D30" s="18">
        <f>C30*B30</f>
        <v/>
      </c>
      <c r="E30" s="18">
        <f>C30*(1/(1+Calculator!$B$5))^A30</f>
        <v/>
      </c>
      <c r="F30" s="18">
        <f>SUM(E30:E$112)</f>
        <v/>
      </c>
      <c r="G30" s="18">
        <f>D30*(1/(1+Calculator!$B$5))^(A30+1)</f>
        <v/>
      </c>
      <c r="H30" s="18">
        <f>SUM(G30:G$112)</f>
        <v/>
      </c>
    </row>
    <row r="31">
      <c r="A31" t="n">
        <v>29</v>
      </c>
      <c r="B31" s="17" t="n">
        <v>0.002766505175127368</v>
      </c>
      <c r="C31" s="18">
        <f>C30*(1-B30)</f>
        <v/>
      </c>
      <c r="D31" s="18">
        <f>C31*B31</f>
        <v/>
      </c>
      <c r="E31" s="18">
        <f>C31*(1/(1+Calculator!$B$5))^A31</f>
        <v/>
      </c>
      <c r="F31" s="18">
        <f>SUM(E31:E$112)</f>
        <v/>
      </c>
      <c r="G31" s="18">
        <f>D31*(1/(1+Calculator!$B$5))^(A31+1)</f>
        <v/>
      </c>
      <c r="H31" s="18">
        <f>SUM(G31:G$112)</f>
        <v/>
      </c>
    </row>
    <row r="32">
      <c r="A32" t="n">
        <v>30</v>
      </c>
      <c r="B32" s="17" t="n">
        <v>0.002833661875188357</v>
      </c>
      <c r="C32" s="18">
        <f>C31*(1-B31)</f>
        <v/>
      </c>
      <c r="D32" s="18">
        <f>C32*B32</f>
        <v/>
      </c>
      <c r="E32" s="18">
        <f>C32*(1/(1+Calculator!$B$5))^A32</f>
        <v/>
      </c>
      <c r="F32" s="18">
        <f>SUM(E32:E$112)</f>
        <v/>
      </c>
      <c r="G32" s="18">
        <f>D32*(1/(1+Calculator!$B$5))^(A32+1)</f>
        <v/>
      </c>
      <c r="H32" s="18">
        <f>SUM(G32:G$112)</f>
        <v/>
      </c>
    </row>
    <row r="33">
      <c r="A33" t="n">
        <v>31</v>
      </c>
      <c r="B33" s="17" t="n">
        <v>0.002824389489689211</v>
      </c>
      <c r="C33" s="18">
        <f>C32*(1-B32)</f>
        <v/>
      </c>
      <c r="D33" s="18">
        <f>C33*B33</f>
        <v/>
      </c>
      <c r="E33" s="18">
        <f>C33*(1/(1+Calculator!$B$5))^A33</f>
        <v/>
      </c>
      <c r="F33" s="18">
        <f>SUM(E33:E$112)</f>
        <v/>
      </c>
      <c r="G33" s="18">
        <f>D33*(1/(1+Calculator!$B$5))^(A33+1)</f>
        <v/>
      </c>
      <c r="H33" s="18">
        <f>SUM(G33:G$112)</f>
        <v/>
      </c>
    </row>
    <row r="34">
      <c r="A34" t="n">
        <v>32</v>
      </c>
      <c r="B34" s="17" t="n">
        <v>0.002839145036932375</v>
      </c>
      <c r="C34" s="18">
        <f>C33*(1-B33)</f>
        <v/>
      </c>
      <c r="D34" s="18">
        <f>C34*B34</f>
        <v/>
      </c>
      <c r="E34" s="18">
        <f>C34*(1/(1+Calculator!$B$5))^A34</f>
        <v/>
      </c>
      <c r="F34" s="18">
        <f>SUM(E34:E$112)</f>
        <v/>
      </c>
      <c r="G34" s="18">
        <f>D34*(1/(1+Calculator!$B$5))^(A34+1)</f>
        <v/>
      </c>
      <c r="H34" s="18">
        <f>SUM(G34:G$112)</f>
        <v/>
      </c>
    </row>
    <row r="35">
      <c r="A35" t="n">
        <v>33</v>
      </c>
      <c r="B35" s="17" t="n">
        <v>0.002937248504919511</v>
      </c>
      <c r="C35" s="18">
        <f>C34*(1-B34)</f>
        <v/>
      </c>
      <c r="D35" s="18">
        <f>C35*B35</f>
        <v/>
      </c>
      <c r="E35" s="18">
        <f>C35*(1/(1+Calculator!$B$5))^A35</f>
        <v/>
      </c>
      <c r="F35" s="18">
        <f>SUM(E35:E$112)</f>
        <v/>
      </c>
      <c r="G35" s="18">
        <f>D35*(1/(1+Calculator!$B$5))^(A35+1)</f>
        <v/>
      </c>
      <c r="H35" s="18">
        <f>SUM(G35:G$112)</f>
        <v/>
      </c>
    </row>
    <row r="36">
      <c r="A36" t="n">
        <v>34</v>
      </c>
      <c r="B36" s="17" t="n">
        <v>0.003067374787211992</v>
      </c>
      <c r="C36" s="18">
        <f>C35*(1-B35)</f>
        <v/>
      </c>
      <c r="D36" s="18">
        <f>C36*B36</f>
        <v/>
      </c>
      <c r="E36" s="18">
        <f>C36*(1/(1+Calculator!$B$5))^A36</f>
        <v/>
      </c>
      <c r="F36" s="18">
        <f>SUM(E36:E$112)</f>
        <v/>
      </c>
      <c r="G36" s="18">
        <f>D36*(1/(1+Calculator!$B$5))^(A36+1)</f>
        <v/>
      </c>
      <c r="H36" s="18">
        <f>SUM(G36:G$112)</f>
        <v/>
      </c>
    </row>
    <row r="37">
      <c r="A37" t="n">
        <v>35</v>
      </c>
      <c r="B37" s="17" t="n">
        <v>0.003174641564683933</v>
      </c>
      <c r="C37" s="18">
        <f>C36*(1-B36)</f>
        <v/>
      </c>
      <c r="D37" s="18">
        <f>C37*B37</f>
        <v/>
      </c>
      <c r="E37" s="18">
        <f>C37*(1/(1+Calculator!$B$5))^A37</f>
        <v/>
      </c>
      <c r="F37" s="18">
        <f>SUM(E37:E$112)</f>
        <v/>
      </c>
      <c r="G37" s="18">
        <f>D37*(1/(1+Calculator!$B$5))^(A37+1)</f>
        <v/>
      </c>
      <c r="H37" s="18">
        <f>SUM(G37:G$112)</f>
        <v/>
      </c>
    </row>
    <row r="38">
      <c r="A38" t="n">
        <v>36</v>
      </c>
      <c r="B38" s="17" t="n">
        <v>0.003279817595156184</v>
      </c>
      <c r="C38" s="18">
        <f>C37*(1-B37)</f>
        <v/>
      </c>
      <c r="D38" s="18">
        <f>C38*B38</f>
        <v/>
      </c>
      <c r="E38" s="18">
        <f>C38*(1/(1+Calculator!$B$5))^A38</f>
        <v/>
      </c>
      <c r="F38" s="18">
        <f>SUM(E38:E$112)</f>
        <v/>
      </c>
      <c r="G38" s="18">
        <f>D38*(1/(1+Calculator!$B$5))^(A38+1)</f>
        <v/>
      </c>
      <c r="H38" s="18">
        <f>SUM(G38:G$112)</f>
        <v/>
      </c>
    </row>
    <row r="39">
      <c r="A39" t="n">
        <v>37</v>
      </c>
      <c r="B39" s="17" t="n">
        <v>0.003425289148458302</v>
      </c>
      <c r="C39" s="18">
        <f>C38*(1-B38)</f>
        <v/>
      </c>
      <c r="D39" s="18">
        <f>C39*B39</f>
        <v/>
      </c>
      <c r="E39" s="18">
        <f>C39*(1/(1+Calculator!$B$5))^A39</f>
        <v/>
      </c>
      <c r="F39" s="18">
        <f>SUM(E39:E$112)</f>
        <v/>
      </c>
      <c r="G39" s="18">
        <f>D39*(1/(1+Calculator!$B$5))^(A39+1)</f>
        <v/>
      </c>
      <c r="H39" s="18">
        <f>SUM(G39:G$112)</f>
        <v/>
      </c>
    </row>
    <row r="40">
      <c r="A40" t="n">
        <v>38</v>
      </c>
      <c r="B40" s="17" t="n">
        <v>0.003634979904834593</v>
      </c>
      <c r="C40" s="18">
        <f>C39*(1-B39)</f>
        <v/>
      </c>
      <c r="D40" s="18">
        <f>C40*B40</f>
        <v/>
      </c>
      <c r="E40" s="18">
        <f>C40*(1/(1+Calculator!$B$5))^A40</f>
        <v/>
      </c>
      <c r="F40" s="18">
        <f>SUM(E40:E$112)</f>
        <v/>
      </c>
      <c r="G40" s="18">
        <f>D40*(1/(1+Calculator!$B$5))^(A40+1)</f>
        <v/>
      </c>
      <c r="H40" s="18">
        <f>SUM(G40:G$112)</f>
        <v/>
      </c>
    </row>
    <row r="41">
      <c r="A41" t="n">
        <v>39</v>
      </c>
      <c r="B41" s="17" t="n">
        <v>0.003923126236275424</v>
      </c>
      <c r="C41" s="18">
        <f>C40*(1-B40)</f>
        <v/>
      </c>
      <c r="D41" s="18">
        <f>C41*B41</f>
        <v/>
      </c>
      <c r="E41" s="18">
        <f>C41*(1/(1+Calculator!$B$5))^A41</f>
        <v/>
      </c>
      <c r="F41" s="18">
        <f>SUM(E41:E$112)</f>
        <v/>
      </c>
      <c r="G41" s="18">
        <f>D41*(1/(1+Calculator!$B$5))^(A41+1)</f>
        <v/>
      </c>
      <c r="H41" s="18">
        <f>SUM(G41:G$112)</f>
        <v/>
      </c>
    </row>
    <row r="42">
      <c r="A42" t="n">
        <v>40</v>
      </c>
      <c r="B42" s="17" t="n">
        <v>0.004241780287293833</v>
      </c>
      <c r="C42" s="18">
        <f>C41*(1-B41)</f>
        <v/>
      </c>
      <c r="D42" s="18">
        <f>C42*B42</f>
        <v/>
      </c>
      <c r="E42" s="18">
        <f>C42*(1/(1+Calculator!$B$5))^A42</f>
        <v/>
      </c>
      <c r="F42" s="18">
        <f>SUM(E42:E$112)</f>
        <v/>
      </c>
      <c r="G42" s="18">
        <f>D42*(1/(1+Calculator!$B$5))^(A42+1)</f>
        <v/>
      </c>
      <c r="H42" s="18">
        <f>SUM(G42:G$112)</f>
        <v/>
      </c>
    </row>
    <row r="43">
      <c r="A43" t="n">
        <v>41</v>
      </c>
      <c r="B43" s="17" t="n">
        <v>0.00447448156162173</v>
      </c>
      <c r="C43" s="18">
        <f>C42*(1-B42)</f>
        <v/>
      </c>
      <c r="D43" s="18">
        <f>C43*B43</f>
        <v/>
      </c>
      <c r="E43" s="18">
        <f>C43*(1/(1+Calculator!$B$5))^A43</f>
        <v/>
      </c>
      <c r="F43" s="18">
        <f>SUM(E43:E$112)</f>
        <v/>
      </c>
      <c r="G43" s="18">
        <f>D43*(1/(1+Calculator!$B$5))^(A43+1)</f>
        <v/>
      </c>
      <c r="H43" s="18">
        <f>SUM(G43:G$112)</f>
        <v/>
      </c>
    </row>
    <row r="44">
      <c r="A44" t="n">
        <v>42</v>
      </c>
      <c r="B44" s="17" t="n">
        <v>0.004621756437170371</v>
      </c>
      <c r="C44" s="18">
        <f>C43*(1-B43)</f>
        <v/>
      </c>
      <c r="D44" s="18">
        <f>C44*B44</f>
        <v/>
      </c>
      <c r="E44" s="18">
        <f>C44*(1/(1+Calculator!$B$5))^A44</f>
        <v/>
      </c>
      <c r="F44" s="18">
        <f>SUM(E44:E$112)</f>
        <v/>
      </c>
      <c r="G44" s="18">
        <f>D44*(1/(1+Calculator!$B$5))^(A44+1)</f>
        <v/>
      </c>
      <c r="H44" s="18">
        <f>SUM(G44:G$112)</f>
        <v/>
      </c>
    </row>
    <row r="45">
      <c r="A45" t="n">
        <v>43</v>
      </c>
      <c r="B45" s="17" t="n">
        <v>0.004880394474271767</v>
      </c>
      <c r="C45" s="18">
        <f>C44*(1-B44)</f>
        <v/>
      </c>
      <c r="D45" s="18">
        <f>C45*B45</f>
        <v/>
      </c>
      <c r="E45" s="18">
        <f>C45*(1/(1+Calculator!$B$5))^A45</f>
        <v/>
      </c>
      <c r="F45" s="18">
        <f>SUM(E45:E$112)</f>
        <v/>
      </c>
      <c r="G45" s="18">
        <f>D45*(1/(1+Calculator!$B$5))^(A45+1)</f>
        <v/>
      </c>
      <c r="H45" s="18">
        <f>SUM(G45:G$112)</f>
        <v/>
      </c>
    </row>
    <row r="46">
      <c r="A46" t="n">
        <v>44</v>
      </c>
      <c r="B46" s="17" t="n">
        <v>0.005355053057933904</v>
      </c>
      <c r="C46" s="18">
        <f>C45*(1-B45)</f>
        <v/>
      </c>
      <c r="D46" s="18">
        <f>C46*B46</f>
        <v/>
      </c>
      <c r="E46" s="18">
        <f>C46*(1/(1+Calculator!$B$5))^A46</f>
        <v/>
      </c>
      <c r="F46" s="18">
        <f>SUM(E46:E$112)</f>
        <v/>
      </c>
      <c r="G46" s="18">
        <f>D46*(1/(1+Calculator!$B$5))^(A46+1)</f>
        <v/>
      </c>
      <c r="H46" s="18">
        <f>SUM(G46:G$112)</f>
        <v/>
      </c>
    </row>
    <row r="47">
      <c r="A47" t="n">
        <v>45</v>
      </c>
      <c r="B47" s="17" t="n">
        <v>0.005811782470076209</v>
      </c>
      <c r="C47" s="18">
        <f>C46*(1-B46)</f>
        <v/>
      </c>
      <c r="D47" s="18">
        <f>C47*B47</f>
        <v/>
      </c>
      <c r="E47" s="18">
        <f>C47*(1/(1+Calculator!$B$5))^A47</f>
        <v/>
      </c>
      <c r="F47" s="18">
        <f>SUM(E47:E$112)</f>
        <v/>
      </c>
      <c r="G47" s="18">
        <f>D47*(1/(1+Calculator!$B$5))^(A47+1)</f>
        <v/>
      </c>
      <c r="H47" s="18">
        <f>SUM(G47:G$112)</f>
        <v/>
      </c>
    </row>
    <row r="48">
      <c r="A48" t="n">
        <v>46</v>
      </c>
      <c r="B48" s="17" t="n">
        <v>0.005999940718304157</v>
      </c>
      <c r="C48" s="18">
        <f>C47*(1-B47)</f>
        <v/>
      </c>
      <c r="D48" s="18">
        <f>C48*B48</f>
        <v/>
      </c>
      <c r="E48" s="18">
        <f>C48*(1/(1+Calculator!$B$5))^A48</f>
        <v/>
      </c>
      <c r="F48" s="18">
        <f>SUM(E48:E$112)</f>
        <v/>
      </c>
      <c r="G48" s="18">
        <f>D48*(1/(1+Calculator!$B$5))^(A48+1)</f>
        <v/>
      </c>
      <c r="H48" s="18">
        <f>SUM(G48:G$112)</f>
        <v/>
      </c>
    </row>
    <row r="49">
      <c r="A49" t="n">
        <v>47</v>
      </c>
      <c r="B49" s="17" t="n">
        <v>0.006117915576686609</v>
      </c>
      <c r="C49" s="18">
        <f>C48*(1-B48)</f>
        <v/>
      </c>
      <c r="D49" s="18">
        <f>C49*B49</f>
        <v/>
      </c>
      <c r="E49" s="18">
        <f>C49*(1/(1+Calculator!$B$5))^A49</f>
        <v/>
      </c>
      <c r="F49" s="18">
        <f>SUM(E49:E$112)</f>
        <v/>
      </c>
      <c r="G49" s="18">
        <f>D49*(1/(1+Calculator!$B$5))^(A49+1)</f>
        <v/>
      </c>
      <c r="H49" s="18">
        <f>SUM(G49:G$112)</f>
        <v/>
      </c>
    </row>
    <row r="50">
      <c r="A50" t="n">
        <v>48</v>
      </c>
      <c r="B50" s="17" t="n">
        <v>0.006466756287223551</v>
      </c>
      <c r="C50" s="18">
        <f>C49*(1-B49)</f>
        <v/>
      </c>
      <c r="D50" s="18">
        <f>C50*B50</f>
        <v/>
      </c>
      <c r="E50" s="18">
        <f>C50*(1/(1+Calculator!$B$5))^A50</f>
        <v/>
      </c>
      <c r="F50" s="18">
        <f>SUM(E50:E$112)</f>
        <v/>
      </c>
      <c r="G50" s="18">
        <f>D50*(1/(1+Calculator!$B$5))^(A50+1)</f>
        <v/>
      </c>
      <c r="H50" s="18">
        <f>SUM(G50:G$112)</f>
        <v/>
      </c>
    </row>
    <row r="51">
      <c r="A51" t="n">
        <v>49</v>
      </c>
      <c r="B51" s="17" t="n">
        <v>0.006991731707976937</v>
      </c>
      <c r="C51" s="18">
        <f>C50*(1-B50)</f>
        <v/>
      </c>
      <c r="D51" s="18">
        <f>C51*B51</f>
        <v/>
      </c>
      <c r="E51" s="18">
        <f>C51*(1/(1+Calculator!$B$5))^A51</f>
        <v/>
      </c>
      <c r="F51" s="18">
        <f>SUM(E51:E$112)</f>
        <v/>
      </c>
      <c r="G51" s="18">
        <f>D51*(1/(1+Calculator!$B$5))^(A51+1)</f>
        <v/>
      </c>
      <c r="H51" s="18">
        <f>SUM(G51:G$112)</f>
        <v/>
      </c>
    </row>
    <row r="52">
      <c r="A52" t="n">
        <v>50</v>
      </c>
      <c r="B52" s="17" t="n">
        <v>0.007436919957467459</v>
      </c>
      <c r="C52" s="18">
        <f>C51*(1-B51)</f>
        <v/>
      </c>
      <c r="D52" s="18">
        <f>C52*B52</f>
        <v/>
      </c>
      <c r="E52" s="18">
        <f>C52*(1/(1+Calculator!$B$5))^A52</f>
        <v/>
      </c>
      <c r="F52" s="18">
        <f>SUM(E52:E$112)</f>
        <v/>
      </c>
      <c r="G52" s="18">
        <f>D52*(1/(1+Calculator!$B$5))^(A52+1)</f>
        <v/>
      </c>
      <c r="H52" s="18">
        <f>SUM(G52:G$112)</f>
        <v/>
      </c>
    </row>
    <row r="53">
      <c r="A53" t="n">
        <v>51</v>
      </c>
      <c r="B53" s="17" t="n">
        <v>0.007723880877265355</v>
      </c>
      <c r="C53" s="18">
        <f>C52*(1-B52)</f>
        <v/>
      </c>
      <c r="D53" s="18">
        <f>C53*B53</f>
        <v/>
      </c>
      <c r="E53" s="18">
        <f>C53*(1/(1+Calculator!$B$5))^A53</f>
        <v/>
      </c>
      <c r="F53" s="18">
        <f>SUM(E53:E$112)</f>
        <v/>
      </c>
      <c r="G53" s="18">
        <f>D53*(1/(1+Calculator!$B$5))^(A53+1)</f>
        <v/>
      </c>
      <c r="H53" s="18">
        <f>SUM(G53:G$112)</f>
        <v/>
      </c>
    </row>
    <row r="54">
      <c r="A54" t="n">
        <v>52</v>
      </c>
      <c r="B54" s="17" t="n">
        <v>0.007963906826495649</v>
      </c>
      <c r="C54" s="18">
        <f>C53*(1-B53)</f>
        <v/>
      </c>
      <c r="D54" s="18">
        <f>C54*B54</f>
        <v/>
      </c>
      <c r="E54" s="18">
        <f>C54*(1/(1+Calculator!$B$5))^A54</f>
        <v/>
      </c>
      <c r="F54" s="18">
        <f>SUM(E54:E$112)</f>
        <v/>
      </c>
      <c r="G54" s="18">
        <f>D54*(1/(1+Calculator!$B$5))^(A54+1)</f>
        <v/>
      </c>
      <c r="H54" s="18">
        <f>SUM(G54:G$112)</f>
        <v/>
      </c>
    </row>
    <row r="55">
      <c r="A55" t="n">
        <v>53</v>
      </c>
      <c r="B55" s="17" t="n">
        <v>0.008268611787011475</v>
      </c>
      <c r="C55" s="18">
        <f>C54*(1-B54)</f>
        <v/>
      </c>
      <c r="D55" s="18">
        <f>C55*B55</f>
        <v/>
      </c>
      <c r="E55" s="18">
        <f>C55*(1/(1+Calculator!$B$5))^A55</f>
        <v/>
      </c>
      <c r="F55" s="18">
        <f>SUM(E55:E$112)</f>
        <v/>
      </c>
      <c r="G55" s="18">
        <f>D55*(1/(1+Calculator!$B$5))^(A55+1)</f>
        <v/>
      </c>
      <c r="H55" s="18">
        <f>SUM(G55:G$112)</f>
        <v/>
      </c>
    </row>
    <row r="56">
      <c r="A56" t="n">
        <v>54</v>
      </c>
      <c r="B56" s="17" t="n">
        <v>0.008733703367730005</v>
      </c>
      <c r="C56" s="18">
        <f>C55*(1-B55)</f>
        <v/>
      </c>
      <c r="D56" s="18">
        <f>C56*B56</f>
        <v/>
      </c>
      <c r="E56" s="18">
        <f>C56*(1/(1+Calculator!$B$5))^A56</f>
        <v/>
      </c>
      <c r="F56" s="18">
        <f>SUM(E56:E$112)</f>
        <v/>
      </c>
      <c r="G56" s="18">
        <f>D56*(1/(1+Calculator!$B$5))^(A56+1)</f>
        <v/>
      </c>
      <c r="H56" s="18">
        <f>SUM(G56:G$112)</f>
        <v/>
      </c>
    </row>
    <row r="57">
      <c r="A57" t="n">
        <v>55</v>
      </c>
      <c r="B57" s="17" t="n">
        <v>0.00940810306311784</v>
      </c>
      <c r="C57" s="18">
        <f>C56*(1-B56)</f>
        <v/>
      </c>
      <c r="D57" s="18">
        <f>C57*B57</f>
        <v/>
      </c>
      <c r="E57" s="18">
        <f>C57*(1/(1+Calculator!$B$5))^A57</f>
        <v/>
      </c>
      <c r="F57" s="18">
        <f>SUM(E57:E$112)</f>
        <v/>
      </c>
      <c r="G57" s="18">
        <f>D57*(1/(1+Calculator!$B$5))^(A57+1)</f>
        <v/>
      </c>
      <c r="H57" s="18">
        <f>SUM(G57:G$112)</f>
        <v/>
      </c>
    </row>
    <row r="58">
      <c r="A58" t="n">
        <v>56</v>
      </c>
      <c r="B58" s="17" t="n">
        <v>0.01019011634275203</v>
      </c>
      <c r="C58" s="18">
        <f>C57*(1-B57)</f>
        <v/>
      </c>
      <c r="D58" s="18">
        <f>C58*B58</f>
        <v/>
      </c>
      <c r="E58" s="18">
        <f>C58*(1/(1+Calculator!$B$5))^A58</f>
        <v/>
      </c>
      <c r="F58" s="18">
        <f>SUM(E58:E$112)</f>
        <v/>
      </c>
      <c r="G58" s="18">
        <f>D58*(1/(1+Calculator!$B$5))^(A58+1)</f>
        <v/>
      </c>
      <c r="H58" s="18">
        <f>SUM(G58:G$112)</f>
        <v/>
      </c>
    </row>
    <row r="59">
      <c r="A59" t="n">
        <v>57</v>
      </c>
      <c r="B59" s="17" t="n">
        <v>0.01095500966230242</v>
      </c>
      <c r="C59" s="18">
        <f>C58*(1-B58)</f>
        <v/>
      </c>
      <c r="D59" s="18">
        <f>C59*B59</f>
        <v/>
      </c>
      <c r="E59" s="18">
        <f>C59*(1/(1+Calculator!$B$5))^A59</f>
        <v/>
      </c>
      <c r="F59" s="18">
        <f>SUM(E59:E$112)</f>
        <v/>
      </c>
      <c r="G59" s="18">
        <f>D59*(1/(1+Calculator!$B$5))^(A59+1)</f>
        <v/>
      </c>
      <c r="H59" s="18">
        <f>SUM(G59:G$112)</f>
        <v/>
      </c>
    </row>
    <row r="60">
      <c r="A60" t="n">
        <v>58</v>
      </c>
      <c r="B60" s="17" t="n">
        <v>0.01170216592481744</v>
      </c>
      <c r="C60" s="18">
        <f>C59*(1-B59)</f>
        <v/>
      </c>
      <c r="D60" s="18">
        <f>C60*B60</f>
        <v/>
      </c>
      <c r="E60" s="18">
        <f>C60*(1/(1+Calculator!$B$5))^A60</f>
        <v/>
      </c>
      <c r="F60" s="18">
        <f>SUM(E60:E$112)</f>
        <v/>
      </c>
      <c r="G60" s="18">
        <f>D60*(1/(1+Calculator!$B$5))^(A60+1)</f>
        <v/>
      </c>
      <c r="H60" s="18">
        <f>SUM(G60:G$112)</f>
        <v/>
      </c>
    </row>
    <row r="61">
      <c r="A61" t="n">
        <v>59</v>
      </c>
      <c r="B61" s="17" t="n">
        <v>0.01247819873830072</v>
      </c>
      <c r="C61" s="18">
        <f>C60*(1-B60)</f>
        <v/>
      </c>
      <c r="D61" s="18">
        <f>C61*B61</f>
        <v/>
      </c>
      <c r="E61" s="18">
        <f>C61*(1/(1+Calculator!$B$5))^A61</f>
        <v/>
      </c>
      <c r="F61" s="18">
        <f>SUM(E61:E$112)</f>
        <v/>
      </c>
      <c r="G61" s="18">
        <f>D61*(1/(1+Calculator!$B$5))^(A61+1)</f>
        <v/>
      </c>
      <c r="H61" s="18">
        <f>SUM(G61:G$112)</f>
        <v/>
      </c>
    </row>
    <row r="62">
      <c r="A62" t="n">
        <v>60</v>
      </c>
      <c r="B62" s="17" t="n">
        <v>0.01335110855161088</v>
      </c>
      <c r="C62" s="18">
        <f>C61*(1-B61)</f>
        <v/>
      </c>
      <c r="D62" s="18">
        <f>C62*B62</f>
        <v/>
      </c>
      <c r="E62" s="18">
        <f>C62*(1/(1+Calculator!$B$5))^A62</f>
        <v/>
      </c>
      <c r="F62" s="18">
        <f>SUM(E62:E$112)</f>
        <v/>
      </c>
      <c r="G62" s="18">
        <f>D62*(1/(1+Calculator!$B$5))^(A62+1)</f>
        <v/>
      </c>
      <c r="H62" s="18">
        <f>SUM(G62:G$112)</f>
        <v/>
      </c>
    </row>
    <row r="63">
      <c r="A63" t="n">
        <v>61</v>
      </c>
      <c r="B63" s="17" t="n">
        <v>0.01440400776208789</v>
      </c>
      <c r="C63" s="18">
        <f>C62*(1-B62)</f>
        <v/>
      </c>
      <c r="D63" s="18">
        <f>C63*B63</f>
        <v/>
      </c>
      <c r="E63" s="18">
        <f>C63*(1/(1+Calculator!$B$5))^A63</f>
        <v/>
      </c>
      <c r="F63" s="18">
        <f>SUM(E63:E$112)</f>
        <v/>
      </c>
      <c r="G63" s="18">
        <f>D63*(1/(1+Calculator!$B$5))^(A63+1)</f>
        <v/>
      </c>
      <c r="H63" s="18">
        <f>SUM(G63:G$112)</f>
        <v/>
      </c>
    </row>
    <row r="64">
      <c r="A64" t="n">
        <v>62</v>
      </c>
      <c r="B64" s="17" t="n">
        <v>0.01562195566833539</v>
      </c>
      <c r="C64" s="18">
        <f>C63*(1-B63)</f>
        <v/>
      </c>
      <c r="D64" s="18">
        <f>C64*B64</f>
        <v/>
      </c>
      <c r="E64" s="18">
        <f>C64*(1/(1+Calculator!$B$5))^A64</f>
        <v/>
      </c>
      <c r="F64" s="18">
        <f>SUM(E64:E$112)</f>
        <v/>
      </c>
      <c r="G64" s="18">
        <f>D64*(1/(1+Calculator!$B$5))^(A64+1)</f>
        <v/>
      </c>
      <c r="H64" s="18">
        <f>SUM(G64:G$112)</f>
        <v/>
      </c>
    </row>
    <row r="65">
      <c r="A65" t="n">
        <v>63</v>
      </c>
      <c r="B65" s="17" t="n">
        <v>0.01688132587223182</v>
      </c>
      <c r="C65" s="18">
        <f>C64*(1-B64)</f>
        <v/>
      </c>
      <c r="D65" s="18">
        <f>C65*B65</f>
        <v/>
      </c>
      <c r="E65" s="18">
        <f>C65*(1/(1+Calculator!$B$5))^A65</f>
        <v/>
      </c>
      <c r="F65" s="18">
        <f>SUM(E65:E$112)</f>
        <v/>
      </c>
      <c r="G65" s="18">
        <f>D65*(1/(1+Calculator!$B$5))^(A65+1)</f>
        <v/>
      </c>
      <c r="H65" s="18">
        <f>SUM(G65:G$112)</f>
        <v/>
      </c>
    </row>
    <row r="66">
      <c r="A66" t="n">
        <v>64</v>
      </c>
      <c r="B66" s="17" t="n">
        <v>0.01814911803997745</v>
      </c>
      <c r="C66" s="18">
        <f>C65*(1-B65)</f>
        <v/>
      </c>
      <c r="D66" s="18">
        <f>C66*B66</f>
        <v/>
      </c>
      <c r="E66" s="18">
        <f>C66*(1/(1+Calculator!$B$5))^A66</f>
        <v/>
      </c>
      <c r="F66" s="18">
        <f>SUM(E66:E$112)</f>
        <v/>
      </c>
      <c r="G66" s="18">
        <f>D66*(1/(1+Calculator!$B$5))^(A66+1)</f>
        <v/>
      </c>
      <c r="H66" s="18">
        <f>SUM(G66:G$112)</f>
        <v/>
      </c>
    </row>
    <row r="67">
      <c r="A67" t="n">
        <v>65</v>
      </c>
      <c r="B67" s="17" t="n">
        <v>0.01957470733140719</v>
      </c>
      <c r="C67" s="18">
        <f>C66*(1-B66)</f>
        <v/>
      </c>
      <c r="D67" s="18">
        <f>C67*B67</f>
        <v/>
      </c>
      <c r="E67" s="18">
        <f>C67*(1/(1+Calculator!$B$5))^A67</f>
        <v/>
      </c>
      <c r="F67" s="18">
        <f>SUM(E67:E$112)</f>
        <v/>
      </c>
      <c r="G67" s="18">
        <f>D67*(1/(1+Calculator!$B$5))^(A67+1)</f>
        <v/>
      </c>
      <c r="H67" s="18">
        <f>SUM(G67:G$112)</f>
        <v/>
      </c>
    </row>
    <row r="68">
      <c r="A68" t="n">
        <v>66</v>
      </c>
      <c r="B68" s="17" t="n">
        <v>0.02126049285295948</v>
      </c>
      <c r="C68" s="18">
        <f>C67*(1-B67)</f>
        <v/>
      </c>
      <c r="D68" s="18">
        <f>C68*B68</f>
        <v/>
      </c>
      <c r="E68" s="18">
        <f>C68*(1/(1+Calculator!$B$5))^A68</f>
        <v/>
      </c>
      <c r="F68" s="18">
        <f>SUM(E68:E$112)</f>
        <v/>
      </c>
      <c r="G68" s="18">
        <f>D68*(1/(1+Calculator!$B$5))^(A68+1)</f>
        <v/>
      </c>
      <c r="H68" s="18">
        <f>SUM(G68:G$112)</f>
        <v/>
      </c>
    </row>
    <row r="69">
      <c r="A69" t="n">
        <v>67</v>
      </c>
      <c r="B69" s="17" t="n">
        <v>0.02307483840940161</v>
      </c>
      <c r="C69" s="18">
        <f>C68*(1-B68)</f>
        <v/>
      </c>
      <c r="D69" s="18">
        <f>C69*B69</f>
        <v/>
      </c>
      <c r="E69" s="18">
        <f>C69*(1/(1+Calculator!$B$5))^A69</f>
        <v/>
      </c>
      <c r="F69" s="18">
        <f>SUM(E69:E$112)</f>
        <v/>
      </c>
      <c r="G69" s="18">
        <f>D69*(1/(1+Calculator!$B$5))^(A69+1)</f>
        <v/>
      </c>
      <c r="H69" s="18">
        <f>SUM(G69:G$112)</f>
        <v/>
      </c>
    </row>
    <row r="70">
      <c r="A70" t="n">
        <v>68</v>
      </c>
      <c r="B70" s="17" t="n">
        <v>0.02486966087273985</v>
      </c>
      <c r="C70" s="18">
        <f>C69*(1-B69)</f>
        <v/>
      </c>
      <c r="D70" s="18">
        <f>C70*B70</f>
        <v/>
      </c>
      <c r="E70" s="18">
        <f>C70*(1/(1+Calculator!$B$5))^A70</f>
        <v/>
      </c>
      <c r="F70" s="18">
        <f>SUM(E70:E$112)</f>
        <v/>
      </c>
      <c r="G70" s="18">
        <f>D70*(1/(1+Calculator!$B$5))^(A70+1)</f>
        <v/>
      </c>
      <c r="H70" s="18">
        <f>SUM(G70:G$112)</f>
        <v/>
      </c>
    </row>
    <row r="71">
      <c r="A71" t="n">
        <v>69</v>
      </c>
      <c r="B71" s="17" t="n">
        <v>0.02676839882096561</v>
      </c>
      <c r="C71" s="18">
        <f>C70*(1-B70)</f>
        <v/>
      </c>
      <c r="D71" s="18">
        <f>C71*B71</f>
        <v/>
      </c>
      <c r="E71" s="18">
        <f>C71*(1/(1+Calculator!$B$5))^A71</f>
        <v/>
      </c>
      <c r="F71" s="18">
        <f>SUM(E71:E$112)</f>
        <v/>
      </c>
      <c r="G71" s="18">
        <f>D71*(1/(1+Calculator!$B$5))^(A71+1)</f>
        <v/>
      </c>
      <c r="H71" s="18">
        <f>SUM(G71:G$112)</f>
        <v/>
      </c>
    </row>
    <row r="72">
      <c r="A72" t="n">
        <v>70</v>
      </c>
      <c r="B72" s="17" t="n">
        <v>0.02897875533013211</v>
      </c>
      <c r="C72" s="18">
        <f>C71*(1-B71)</f>
        <v/>
      </c>
      <c r="D72" s="18">
        <f>C72*B72</f>
        <v/>
      </c>
      <c r="E72" s="18">
        <f>C72*(1/(1+Calculator!$B$5))^A72</f>
        <v/>
      </c>
      <c r="F72" s="18">
        <f>SUM(E72:E$112)</f>
        <v/>
      </c>
      <c r="G72" s="18">
        <f>D72*(1/(1+Calculator!$B$5))^(A72+1)</f>
        <v/>
      </c>
      <c r="H72" s="18">
        <f>SUM(G72:G$112)</f>
        <v/>
      </c>
    </row>
    <row r="73">
      <c r="A73" t="n">
        <v>71</v>
      </c>
      <c r="B73" s="17" t="n">
        <v>0.03142615398040311</v>
      </c>
      <c r="C73" s="18">
        <f>C72*(1-B72)</f>
        <v/>
      </c>
      <c r="D73" s="18">
        <f>C73*B73</f>
        <v/>
      </c>
      <c r="E73" s="18">
        <f>C73*(1/(1+Calculator!$B$5))^A73</f>
        <v/>
      </c>
      <c r="F73" s="18">
        <f>SUM(E73:E$112)</f>
        <v/>
      </c>
      <c r="G73" s="18">
        <f>D73*(1/(1+Calculator!$B$5))^(A73+1)</f>
        <v/>
      </c>
      <c r="H73" s="18">
        <f>SUM(G73:G$112)</f>
        <v/>
      </c>
    </row>
    <row r="74">
      <c r="A74" t="n">
        <v>72</v>
      </c>
      <c r="B74" s="17" t="n">
        <v>0.0338538115959138</v>
      </c>
      <c r="C74" s="18">
        <f>C73*(1-B73)</f>
        <v/>
      </c>
      <c r="D74" s="18">
        <f>C74*B74</f>
        <v/>
      </c>
      <c r="E74" s="18">
        <f>C74*(1/(1+Calculator!$B$5))^A74</f>
        <v/>
      </c>
      <c r="F74" s="18">
        <f>SUM(E74:E$112)</f>
        <v/>
      </c>
      <c r="G74" s="18">
        <f>D74*(1/(1+Calculator!$B$5))^(A74+1)</f>
        <v/>
      </c>
      <c r="H74" s="18">
        <f>SUM(G74:G$112)</f>
        <v/>
      </c>
    </row>
    <row r="75">
      <c r="A75" t="n">
        <v>73</v>
      </c>
      <c r="B75" s="17" t="n">
        <v>0.03623602617648895</v>
      </c>
      <c r="C75" s="18">
        <f>C74*(1-B74)</f>
        <v/>
      </c>
      <c r="D75" s="18">
        <f>C75*B75</f>
        <v/>
      </c>
      <c r="E75" s="18">
        <f>C75*(1/(1+Calculator!$B$5))^A75</f>
        <v/>
      </c>
      <c r="F75" s="18">
        <f>SUM(E75:E$112)</f>
        <v/>
      </c>
      <c r="G75" s="18">
        <f>D75*(1/(1+Calculator!$B$5))^(A75+1)</f>
        <v/>
      </c>
      <c r="H75" s="18">
        <f>SUM(G75:G$112)</f>
        <v/>
      </c>
    </row>
    <row r="76">
      <c r="A76" t="n">
        <v>74</v>
      </c>
      <c r="B76" s="17" t="n">
        <v>0.03880048627899718</v>
      </c>
      <c r="C76" s="18">
        <f>C75*(1-B75)</f>
        <v/>
      </c>
      <c r="D76" s="18">
        <f>C76*B76</f>
        <v/>
      </c>
      <c r="E76" s="18">
        <f>C76*(1/(1+Calculator!$B$5))^A76</f>
        <v/>
      </c>
      <c r="F76" s="18">
        <f>SUM(E76:E$112)</f>
        <v/>
      </c>
      <c r="G76" s="18">
        <f>D76*(1/(1+Calculator!$B$5))^(A76+1)</f>
        <v/>
      </c>
      <c r="H76" s="18">
        <f>SUM(G76:G$112)</f>
        <v/>
      </c>
    </row>
    <row r="77">
      <c r="A77" t="n">
        <v>75</v>
      </c>
      <c r="B77" s="17" t="n">
        <v>0.04166325213571461</v>
      </c>
      <c r="C77" s="18">
        <f>C76*(1-B76)</f>
        <v/>
      </c>
      <c r="D77" s="18">
        <f>C77*B77</f>
        <v/>
      </c>
      <c r="E77" s="18">
        <f>C77*(1/(1+Calculator!$B$5))^A77</f>
        <v/>
      </c>
      <c r="F77" s="18">
        <f>SUM(E77:E$112)</f>
        <v/>
      </c>
      <c r="G77" s="18">
        <f>D77*(1/(1+Calculator!$B$5))^(A77+1)</f>
        <v/>
      </c>
      <c r="H77" s="18">
        <f>SUM(G77:G$112)</f>
        <v/>
      </c>
    </row>
    <row r="78">
      <c r="A78" t="n">
        <v>76</v>
      </c>
      <c r="B78" s="17" t="n">
        <v>0.04471081365803589</v>
      </c>
      <c r="C78" s="18">
        <f>C77*(1-B77)</f>
        <v/>
      </c>
      <c r="D78" s="18">
        <f>C78*B78</f>
        <v/>
      </c>
      <c r="E78" s="18">
        <f>C78*(1/(1+Calculator!$B$5))^A78</f>
        <v/>
      </c>
      <c r="F78" s="18">
        <f>SUM(E78:E$112)</f>
        <v/>
      </c>
      <c r="G78" s="18">
        <f>D78*(1/(1+Calculator!$B$5))^(A78+1)</f>
        <v/>
      </c>
      <c r="H78" s="18">
        <f>SUM(G78:G$112)</f>
        <v/>
      </c>
    </row>
    <row r="79">
      <c r="A79" t="n">
        <v>77</v>
      </c>
      <c r="B79" s="17" t="n">
        <v>0.0478694549368095</v>
      </c>
      <c r="C79" s="18">
        <f>C78*(1-B78)</f>
        <v/>
      </c>
      <c r="D79" s="18">
        <f>C79*B79</f>
        <v/>
      </c>
      <c r="E79" s="18">
        <f>C79*(1/(1+Calculator!$B$5))^A79</f>
        <v/>
      </c>
      <c r="F79" s="18">
        <f>SUM(E79:E$112)</f>
        <v/>
      </c>
      <c r="G79" s="18">
        <f>D79*(1/(1+Calculator!$B$5))^(A79+1)</f>
        <v/>
      </c>
      <c r="H79" s="18">
        <f>SUM(G79:G$112)</f>
        <v/>
      </c>
    </row>
    <row r="80">
      <c r="A80" t="n">
        <v>78</v>
      </c>
      <c r="B80" s="17" t="n">
        <v>0.05127399416070883</v>
      </c>
      <c r="C80" s="18">
        <f>C79*(1-B79)</f>
        <v/>
      </c>
      <c r="D80" s="18">
        <f>C80*B80</f>
        <v/>
      </c>
      <c r="E80" s="18">
        <f>C80*(1/(1+Calculator!$B$5))^A80</f>
        <v/>
      </c>
      <c r="F80" s="18">
        <f>SUM(E80:E$112)</f>
        <v/>
      </c>
      <c r="G80" s="18">
        <f>D80*(1/(1+Calculator!$B$5))^(A80+1)</f>
        <v/>
      </c>
      <c r="H80" s="18">
        <f>SUM(G80:G$112)</f>
        <v/>
      </c>
    </row>
    <row r="81">
      <c r="A81" t="n">
        <v>79</v>
      </c>
      <c r="B81" s="17" t="n">
        <v>0.05513694740672358</v>
      </c>
      <c r="C81" s="18">
        <f>C80*(1-B80)</f>
        <v/>
      </c>
      <c r="D81" s="18">
        <f>C81*B81</f>
        <v/>
      </c>
      <c r="E81" s="18">
        <f>C81*(1/(1+Calculator!$B$5))^A81</f>
        <v/>
      </c>
      <c r="F81" s="18">
        <f>SUM(E81:E$112)</f>
        <v/>
      </c>
      <c r="G81" s="18">
        <f>D81*(1/(1+Calculator!$B$5))^(A81+1)</f>
        <v/>
      </c>
      <c r="H81" s="18">
        <f>SUM(G81:G$112)</f>
        <v/>
      </c>
    </row>
    <row r="82">
      <c r="A82" t="n">
        <v>80</v>
      </c>
      <c r="B82" s="17" t="n">
        <v>0.05975901137434547</v>
      </c>
      <c r="C82" s="18">
        <f>C81*(1-B81)</f>
        <v/>
      </c>
      <c r="D82" s="18">
        <f>C82*B82</f>
        <v/>
      </c>
      <c r="E82" s="18">
        <f>C82*(1/(1+Calculator!$B$5))^A82</f>
        <v/>
      </c>
      <c r="F82" s="18">
        <f>SUM(E82:E$112)</f>
        <v/>
      </c>
      <c r="G82" s="18">
        <f>D82*(1/(1+Calculator!$B$5))^(A82+1)</f>
        <v/>
      </c>
      <c r="H82" s="18">
        <f>SUM(G82:G$112)</f>
        <v/>
      </c>
    </row>
    <row r="83">
      <c r="A83" t="n">
        <v>81</v>
      </c>
      <c r="B83" s="17" t="n">
        <v>0.06544094975027358</v>
      </c>
      <c r="C83" s="18">
        <f>C82*(1-B82)</f>
        <v/>
      </c>
      <c r="D83" s="18">
        <f>C83*B83</f>
        <v/>
      </c>
      <c r="E83" s="18">
        <f>C83*(1/(1+Calculator!$B$5))^A83</f>
        <v/>
      </c>
      <c r="F83" s="18">
        <f>SUM(E83:E$112)</f>
        <v/>
      </c>
      <c r="G83" s="18">
        <f>D83*(1/(1+Calculator!$B$5))^(A83+1)</f>
        <v/>
      </c>
      <c r="H83" s="18">
        <f>SUM(G83:G$112)</f>
        <v/>
      </c>
    </row>
    <row r="84">
      <c r="A84" t="n">
        <v>82</v>
      </c>
      <c r="B84" s="17" t="n">
        <v>0.07176435754005073</v>
      </c>
      <c r="C84" s="18">
        <f>C83*(1-B83)</f>
        <v/>
      </c>
      <c r="D84" s="18">
        <f>C84*B84</f>
        <v/>
      </c>
      <c r="E84" s="18">
        <f>C84*(1/(1+Calculator!$B$5))^A84</f>
        <v/>
      </c>
      <c r="F84" s="18">
        <f>SUM(E84:E$112)</f>
        <v/>
      </c>
      <c r="G84" s="18">
        <f>D84*(1/(1+Calculator!$B$5))^(A84+1)</f>
        <v/>
      </c>
      <c r="H84" s="18">
        <f>SUM(G84:G$112)</f>
        <v/>
      </c>
    </row>
    <row r="85">
      <c r="A85" t="n">
        <v>83</v>
      </c>
      <c r="B85" s="17" t="n">
        <v>0.07781818176131643</v>
      </c>
      <c r="C85" s="18">
        <f>C84*(1-B84)</f>
        <v/>
      </c>
      <c r="D85" s="18">
        <f>C85*B85</f>
        <v/>
      </c>
      <c r="E85" s="18">
        <f>C85*(1/(1+Calculator!$B$5))^A85</f>
        <v/>
      </c>
      <c r="F85" s="18">
        <f>SUM(E85:E$112)</f>
        <v/>
      </c>
      <c r="G85" s="18">
        <f>D85*(1/(1+Calculator!$B$5))^(A85+1)</f>
        <v/>
      </c>
      <c r="H85" s="18">
        <f>SUM(G85:G$112)</f>
        <v/>
      </c>
    </row>
    <row r="86">
      <c r="A86" t="n">
        <v>84</v>
      </c>
      <c r="B86" s="17" t="n">
        <v>0.08390337429954332</v>
      </c>
      <c r="C86" s="18">
        <f>C85*(1-B85)</f>
        <v/>
      </c>
      <c r="D86" s="18">
        <f>C86*B86</f>
        <v/>
      </c>
      <c r="E86" s="18">
        <f>C86*(1/(1+Calculator!$B$5))^A86</f>
        <v/>
      </c>
      <c r="F86" s="18">
        <f>SUM(E86:E$112)</f>
        <v/>
      </c>
      <c r="G86" s="18">
        <f>D86*(1/(1+Calculator!$B$5))^(A86+1)</f>
        <v/>
      </c>
      <c r="H86" s="18">
        <f>SUM(G86:G$112)</f>
        <v/>
      </c>
    </row>
    <row r="87">
      <c r="A87" t="n">
        <v>85</v>
      </c>
      <c r="B87" s="17" t="n">
        <v>0.09170072611576055</v>
      </c>
      <c r="C87" s="18">
        <f>C86*(1-B86)</f>
        <v/>
      </c>
      <c r="D87" s="18">
        <f>C87*B87</f>
        <v/>
      </c>
      <c r="E87" s="18">
        <f>C87*(1/(1+Calculator!$B$5))^A87</f>
        <v/>
      </c>
      <c r="F87" s="18">
        <f>SUM(E87:E$112)</f>
        <v/>
      </c>
      <c r="G87" s="18">
        <f>D87*(1/(1+Calculator!$B$5))^(A87+1)</f>
        <v/>
      </c>
      <c r="H87" s="18">
        <f>SUM(G87:G$112)</f>
        <v/>
      </c>
    </row>
    <row r="88">
      <c r="A88" t="n">
        <v>86</v>
      </c>
      <c r="B88" s="17" t="n">
        <v>0.1007477950441044</v>
      </c>
      <c r="C88" s="18">
        <f>C87*(1-B87)</f>
        <v/>
      </c>
      <c r="D88" s="18">
        <f>C88*B88</f>
        <v/>
      </c>
      <c r="E88" s="18">
        <f>C88*(1/(1+Calculator!$B$5))^A88</f>
        <v/>
      </c>
      <c r="F88" s="18">
        <f>SUM(E88:E$112)</f>
        <v/>
      </c>
      <c r="G88" s="18">
        <f>D88*(1/(1+Calculator!$B$5))^(A88+1)</f>
        <v/>
      </c>
      <c r="H88" s="18">
        <f>SUM(G88:G$112)</f>
        <v/>
      </c>
    </row>
    <row r="89">
      <c r="A89" t="n">
        <v>87</v>
      </c>
      <c r="B89" s="17" t="n">
        <v>0.1091326048644485</v>
      </c>
      <c r="C89" s="18">
        <f>C88*(1-B88)</f>
        <v/>
      </c>
      <c r="D89" s="18">
        <f>C89*B89</f>
        <v/>
      </c>
      <c r="E89" s="18">
        <f>C89*(1/(1+Calculator!$B$5))^A89</f>
        <v/>
      </c>
      <c r="F89" s="18">
        <f>SUM(E89:E$112)</f>
        <v/>
      </c>
      <c r="G89" s="18">
        <f>D89*(1/(1+Calculator!$B$5))^(A89+1)</f>
        <v/>
      </c>
      <c r="H89" s="18">
        <f>SUM(G89:G$112)</f>
        <v/>
      </c>
    </row>
    <row r="90">
      <c r="A90" t="n">
        <v>88</v>
      </c>
      <c r="B90" s="17" t="n">
        <v>0.1165392374460773</v>
      </c>
      <c r="C90" s="18">
        <f>C89*(1-B89)</f>
        <v/>
      </c>
      <c r="D90" s="18">
        <f>C90*B90</f>
        <v/>
      </c>
      <c r="E90" s="18">
        <f>C90*(1/(1+Calculator!$B$5))^A90</f>
        <v/>
      </c>
      <c r="F90" s="18">
        <f>SUM(E90:E$112)</f>
        <v/>
      </c>
      <c r="G90" s="18">
        <f>D90*(1/(1+Calculator!$B$5))^(A90+1)</f>
        <v/>
      </c>
      <c r="H90" s="18">
        <f>SUM(G90:G$112)</f>
        <v/>
      </c>
    </row>
    <row r="91">
      <c r="A91" t="n">
        <v>89</v>
      </c>
      <c r="B91" s="17" t="n">
        <v>0.1244575420100369</v>
      </c>
      <c r="C91" s="18">
        <f>C90*(1-B90)</f>
        <v/>
      </c>
      <c r="D91" s="18">
        <f>C91*B91</f>
        <v/>
      </c>
      <c r="E91" s="18">
        <f>C91*(1/(1+Calculator!$B$5))^A91</f>
        <v/>
      </c>
      <c r="F91" s="18">
        <f>SUM(E91:E$112)</f>
        <v/>
      </c>
      <c r="G91" s="18">
        <f>D91*(1/(1+Calculator!$B$5))^(A91+1)</f>
        <v/>
      </c>
      <c r="H91" s="18">
        <f>SUM(G91:G$112)</f>
        <v/>
      </c>
    </row>
    <row r="92">
      <c r="A92" t="n">
        <v>90</v>
      </c>
      <c r="B92" s="17" t="n">
        <v>0.1358517626132253</v>
      </c>
      <c r="C92" s="18">
        <f>C91*(1-B91)</f>
        <v/>
      </c>
      <c r="D92" s="18">
        <f>C92*B92</f>
        <v/>
      </c>
      <c r="E92" s="18">
        <f>C92*(1/(1+Calculator!$B$5))^A92</f>
        <v/>
      </c>
      <c r="F92" s="18">
        <f>SUM(E92:E$112)</f>
        <v/>
      </c>
      <c r="G92" s="18">
        <f>D92*(1/(1+Calculator!$B$5))^(A92+1)</f>
        <v/>
      </c>
      <c r="H92" s="18">
        <f>SUM(G92:G$112)</f>
        <v/>
      </c>
    </row>
    <row r="93">
      <c r="A93" t="n">
        <v>91</v>
      </c>
      <c r="B93" s="17" t="n">
        <v>0.1486646549935644</v>
      </c>
      <c r="C93" s="18">
        <f>C92*(1-B92)</f>
        <v/>
      </c>
      <c r="D93" s="18">
        <f>C93*B93</f>
        <v/>
      </c>
      <c r="E93" s="18">
        <f>C93*(1/(1+Calculator!$B$5))^A93</f>
        <v/>
      </c>
      <c r="F93" s="18">
        <f>SUM(E93:E$112)</f>
        <v/>
      </c>
      <c r="G93" s="18">
        <f>D93*(1/(1+Calculator!$B$5))^(A93+1)</f>
        <v/>
      </c>
      <c r="H93" s="18">
        <f>SUM(G93:G$112)</f>
        <v/>
      </c>
    </row>
    <row r="94">
      <c r="A94" t="n">
        <v>92</v>
      </c>
      <c r="B94" s="17" t="n">
        <v>0.162316469440786</v>
      </c>
      <c r="C94" s="18">
        <f>C93*(1-B93)</f>
        <v/>
      </c>
      <c r="D94" s="18">
        <f>C94*B94</f>
        <v/>
      </c>
      <c r="E94" s="18">
        <f>C94*(1/(1+Calculator!$B$5))^A94</f>
        <v/>
      </c>
      <c r="F94" s="18">
        <f>SUM(E94:E$112)</f>
        <v/>
      </c>
      <c r="G94" s="18">
        <f>D94*(1/(1+Calculator!$B$5))^(A94+1)</f>
        <v/>
      </c>
      <c r="H94" s="18">
        <f>SUM(G94:G$112)</f>
        <v/>
      </c>
    </row>
    <row r="95">
      <c r="A95" t="n">
        <v>93</v>
      </c>
      <c r="B95" s="17" t="n">
        <v>0.17679405698041</v>
      </c>
      <c r="C95" s="18">
        <f>C94*(1-B94)</f>
        <v/>
      </c>
      <c r="D95" s="18">
        <f>C95*B95</f>
        <v/>
      </c>
      <c r="E95" s="18">
        <f>C95*(1/(1+Calculator!$B$5))^A95</f>
        <v/>
      </c>
      <c r="F95" s="18">
        <f>SUM(E95:E$112)</f>
        <v/>
      </c>
      <c r="G95" s="18">
        <f>D95*(1/(1+Calculator!$B$5))^(A95+1)</f>
        <v/>
      </c>
      <c r="H95" s="18">
        <f>SUM(G95:G$112)</f>
        <v/>
      </c>
    </row>
    <row r="96">
      <c r="A96" t="n">
        <v>94</v>
      </c>
      <c r="B96" s="17" t="n">
        <v>0.192071184920813</v>
      </c>
      <c r="C96" s="18">
        <f>C95*(1-B95)</f>
        <v/>
      </c>
      <c r="D96" s="18">
        <f>C96*B96</f>
        <v/>
      </c>
      <c r="E96" s="18">
        <f>C96*(1/(1+Calculator!$B$5))^A96</f>
        <v/>
      </c>
      <c r="F96" s="18">
        <f>SUM(E96:E$112)</f>
        <v/>
      </c>
      <c r="G96" s="18">
        <f>D96*(1/(1+Calculator!$B$5))^(A96+1)</f>
        <v/>
      </c>
      <c r="H96" s="18">
        <f>SUM(G96:G$112)</f>
        <v/>
      </c>
    </row>
    <row r="97">
      <c r="A97" t="n">
        <v>95</v>
      </c>
      <c r="B97" s="17" t="n">
        <v>0.2081076237638974</v>
      </c>
      <c r="C97" s="18">
        <f>C96*(1-B96)</f>
        <v/>
      </c>
      <c r="D97" s="18">
        <f>C97*B97</f>
        <v/>
      </c>
      <c r="E97" s="18">
        <f>C97*(1/(1+Calculator!$B$5))^A97</f>
        <v/>
      </c>
      <c r="F97" s="18">
        <f>SUM(E97:E$112)</f>
        <v/>
      </c>
      <c r="G97" s="18">
        <f>D97*(1/(1+Calculator!$B$5))^(A97+1)</f>
        <v/>
      </c>
      <c r="H97" s="18">
        <f>SUM(G97:G$112)</f>
        <v/>
      </c>
    </row>
    <row r="98">
      <c r="A98" t="n">
        <v>96</v>
      </c>
      <c r="B98" s="17" t="n">
        <v>0.224848642184607</v>
      </c>
      <c r="C98" s="18">
        <f>C97*(1-B97)</f>
        <v/>
      </c>
      <c r="D98" s="18">
        <f>C98*B98</f>
        <v/>
      </c>
      <c r="E98" s="18">
        <f>C98*(1/(1+Calculator!$B$5))^A98</f>
        <v/>
      </c>
      <c r="F98" s="18">
        <f>SUM(E98:E$112)</f>
        <v/>
      </c>
      <c r="G98" s="18">
        <f>D98*(1/(1+Calculator!$B$5))^(A98+1)</f>
        <v/>
      </c>
      <c r="H98" s="18">
        <f>SUM(G98:G$112)</f>
        <v/>
      </c>
    </row>
    <row r="99">
      <c r="A99" t="n">
        <v>97</v>
      </c>
      <c r="B99" s="17" t="n">
        <v>0.2422249993838286</v>
      </c>
      <c r="C99" s="18">
        <f>C98*(1-B98)</f>
        <v/>
      </c>
      <c r="D99" s="18">
        <f>C99*B99</f>
        <v/>
      </c>
      <c r="E99" s="18">
        <f>C99*(1/(1+Calculator!$B$5))^A99</f>
        <v/>
      </c>
      <c r="F99" s="18">
        <f>SUM(E99:E$112)</f>
        <v/>
      </c>
      <c r="G99" s="18">
        <f>D99*(1/(1+Calculator!$B$5))^(A99+1)</f>
        <v/>
      </c>
      <c r="H99" s="18">
        <f>SUM(G99:G$112)</f>
        <v/>
      </c>
    </row>
    <row r="100">
      <c r="A100" t="n">
        <v>98</v>
      </c>
      <c r="B100" s="17" t="n">
        <v>0.2601535025354545</v>
      </c>
      <c r="C100" s="18">
        <f>C99*(1-B99)</f>
        <v/>
      </c>
      <c r="D100" s="18">
        <f>C100*B100</f>
        <v/>
      </c>
      <c r="E100" s="18">
        <f>C100*(1/(1+Calculator!$B$5))^A100</f>
        <v/>
      </c>
      <c r="F100" s="18">
        <f>SUM(E100:E$112)</f>
        <v/>
      </c>
      <c r="G100" s="18">
        <f>D100*(1/(1+Calculator!$B$5))^(A100+1)</f>
        <v/>
      </c>
      <c r="H100" s="18">
        <f>SUM(G100:G$112)</f>
        <v/>
      </c>
    </row>
    <row r="101">
      <c r="A101" t="n">
        <v>99</v>
      </c>
      <c r="B101" s="17" t="n">
        <v>0.278538165271712</v>
      </c>
      <c r="C101" s="18">
        <f>C100*(1-B100)</f>
        <v/>
      </c>
      <c r="D101" s="18">
        <f>C101*B101</f>
        <v/>
      </c>
      <c r="E101" s="18">
        <f>C101*(1/(1+Calculator!$B$5))^A101</f>
        <v/>
      </c>
      <c r="F101" s="18">
        <f>SUM(E101:E$112)</f>
        <v/>
      </c>
      <c r="G101" s="18">
        <f>D101*(1/(1+Calculator!$B$5))^(A101+1)</f>
        <v/>
      </c>
      <c r="H101" s="18">
        <f>SUM(G101:G$112)</f>
        <v/>
      </c>
    </row>
    <row r="102">
      <c r="A102" t="n">
        <v>100</v>
      </c>
      <c r="B102" s="17" t="n">
        <v>0.2972719631055362</v>
      </c>
      <c r="C102" s="18">
        <f>C101*(1-B101)</f>
        <v/>
      </c>
      <c r="D102" s="18">
        <f>C102*B102</f>
        <v/>
      </c>
      <c r="E102" s="18">
        <f>C102*(1/(1+Calculator!$B$5))^A102</f>
        <v/>
      </c>
      <c r="F102" s="18">
        <f>SUM(E102:E$112)</f>
        <v/>
      </c>
      <c r="G102" s="18">
        <f>D102*(1/(1+Calculator!$B$5))^(A102+1)</f>
        <v/>
      </c>
      <c r="H102" s="18">
        <f>SUM(G102:G$112)</f>
        <v/>
      </c>
    </row>
    <row r="103">
      <c r="A103" t="n">
        <v>101</v>
      </c>
      <c r="B103" s="17" t="n">
        <v>0.3162391368669364</v>
      </c>
      <c r="C103" s="18">
        <f>C102*(1-B102)</f>
        <v/>
      </c>
      <c r="D103" s="18">
        <f>C103*B103</f>
        <v/>
      </c>
      <c r="E103" s="18">
        <f>C103*(1/(1+Calculator!$B$5))^A103</f>
        <v/>
      </c>
      <c r="F103" s="18">
        <f>SUM(E103:E$112)</f>
        <v/>
      </c>
      <c r="G103" s="18">
        <f>D103*(1/(1+Calculator!$B$5))^(A103+1)</f>
        <v/>
      </c>
      <c r="H103" s="18">
        <f>SUM(G103:G$112)</f>
        <v/>
      </c>
    </row>
    <row r="104">
      <c r="A104" t="n">
        <v>102</v>
      </c>
      <c r="B104" s="17" t="n">
        <v>0.3353179503742009</v>
      </c>
      <c r="C104" s="18">
        <f>C103*(1-B103)</f>
        <v/>
      </c>
      <c r="D104" s="18">
        <f>C104*B104</f>
        <v/>
      </c>
      <c r="E104" s="18">
        <f>C104*(1/(1+Calculator!$B$5))^A104</f>
        <v/>
      </c>
      <c r="F104" s="18">
        <f>SUM(E104:E$112)</f>
        <v/>
      </c>
      <c r="G104" s="18">
        <f>D104*(1/(1+Calculator!$B$5))^(A104+1)</f>
        <v/>
      </c>
      <c r="H104" s="18">
        <f>SUM(G104:G$112)</f>
        <v/>
      </c>
    </row>
    <row r="105">
      <c r="A105" t="n">
        <v>103</v>
      </c>
      <c r="B105" s="17" t="n">
        <v>0.3543837690264864</v>
      </c>
      <c r="C105" s="18">
        <f>C104*(1-B104)</f>
        <v/>
      </c>
      <c r="D105" s="18">
        <f>C105*B105</f>
        <v/>
      </c>
      <c r="E105" s="18">
        <f>C105*(1/(1+Calculator!$B$5))^A105</f>
        <v/>
      </c>
      <c r="F105" s="18">
        <f>SUM(E105:E$112)</f>
        <v/>
      </c>
      <c r="G105" s="18">
        <f>D105*(1/(1+Calculator!$B$5))^(A105+1)</f>
        <v/>
      </c>
      <c r="H105" s="18">
        <f>SUM(G105:G$112)</f>
        <v/>
      </c>
    </row>
    <row r="106">
      <c r="A106" t="n">
        <v>104</v>
      </c>
      <c r="B106" s="17" t="n">
        <v>0.3733122969032032</v>
      </c>
      <c r="C106" s="18">
        <f>C105*(1-B105)</f>
        <v/>
      </c>
      <c r="D106" s="18">
        <f>C106*B106</f>
        <v/>
      </c>
      <c r="E106" s="18">
        <f>C106*(1/(1+Calculator!$B$5))^A106</f>
        <v/>
      </c>
      <c r="F106" s="18">
        <f>SUM(E106:E$112)</f>
        <v/>
      </c>
      <c r="G106" s="18">
        <f>D106*(1/(1+Calculator!$B$5))^(A106+1)</f>
        <v/>
      </c>
      <c r="H106" s="18">
        <f>SUM(G106:G$112)</f>
        <v/>
      </c>
    </row>
    <row r="107">
      <c r="A107" t="n">
        <v>105</v>
      </c>
      <c r="B107" s="17" t="n">
        <v>0.3919827952458146</v>
      </c>
      <c r="C107" s="18">
        <f>C106*(1-B106)</f>
        <v/>
      </c>
      <c r="D107" s="18">
        <f>C107*B107</f>
        <v/>
      </c>
      <c r="E107" s="18">
        <f>C107*(1/(1+Calculator!$B$5))^A107</f>
        <v/>
      </c>
      <c r="F107" s="18">
        <f>SUM(E107:E$112)</f>
        <v/>
      </c>
      <c r="G107" s="18">
        <f>D107*(1/(1+Calculator!$B$5))^(A107+1)</f>
        <v/>
      </c>
      <c r="H107" s="18">
        <f>SUM(G107:G$112)</f>
        <v/>
      </c>
    </row>
    <row r="108">
      <c r="A108" t="n">
        <v>106</v>
      </c>
      <c r="B108" s="17" t="n">
        <v>0.4102811069366341</v>
      </c>
      <c r="C108" s="18">
        <f>C107*(1-B107)</f>
        <v/>
      </c>
      <c r="D108" s="18">
        <f>C108*B108</f>
        <v/>
      </c>
      <c r="E108" s="18">
        <f>C108*(1/(1+Calculator!$B$5))^A108</f>
        <v/>
      </c>
      <c r="F108" s="18">
        <f>SUM(E108:E$112)</f>
        <v/>
      </c>
      <c r="G108" s="18">
        <f>D108*(1/(1+Calculator!$B$5))^(A108+1)</f>
        <v/>
      </c>
      <c r="H108" s="18">
        <f>SUM(G108:G$112)</f>
        <v/>
      </c>
    </row>
    <row r="109">
      <c r="A109" t="n">
        <v>107</v>
      </c>
      <c r="B109" s="17" t="n">
        <v>0.4281023295318095</v>
      </c>
      <c r="C109" s="18">
        <f>C108*(1-B108)</f>
        <v/>
      </c>
      <c r="D109" s="18">
        <f>C109*B109</f>
        <v/>
      </c>
      <c r="E109" s="18">
        <f>C109*(1/(1+Calculator!$B$5))^A109</f>
        <v/>
      </c>
      <c r="F109" s="18">
        <f>SUM(E109:E$112)</f>
        <v/>
      </c>
      <c r="G109" s="18">
        <f>D109*(1/(1+Calculator!$B$5))^(A109+1)</f>
        <v/>
      </c>
      <c r="H109" s="18">
        <f>SUM(G109:G$112)</f>
        <v/>
      </c>
    </row>
    <row r="110">
      <c r="A110" t="n">
        <v>108</v>
      </c>
      <c r="B110" s="17" t="n">
        <v>0.4453530110526219</v>
      </c>
      <c r="C110" s="18">
        <f>C109*(1-B109)</f>
        <v/>
      </c>
      <c r="D110" s="18">
        <f>C110*B110</f>
        <v/>
      </c>
      <c r="E110" s="18">
        <f>C110*(1/(1+Calculator!$B$5))^A110</f>
        <v/>
      </c>
      <c r="F110" s="18">
        <f>SUM(E110:E$112)</f>
        <v/>
      </c>
      <c r="G110" s="18">
        <f>D110*(1/(1+Calculator!$B$5))^(A110+1)</f>
        <v/>
      </c>
      <c r="H110" s="18">
        <f>SUM(G110:G$112)</f>
        <v/>
      </c>
    </row>
    <row r="111">
      <c r="A111" t="n">
        <v>109</v>
      </c>
      <c r="B111" s="17" t="n">
        <v>0.461952783822569</v>
      </c>
      <c r="C111" s="18">
        <f>C110*(1-B110)</f>
        <v/>
      </c>
      <c r="D111" s="18">
        <f>C111*B111</f>
        <v/>
      </c>
      <c r="E111" s="18">
        <f>C111*(1/(1+Calculator!$B$5))^A111</f>
        <v/>
      </c>
      <c r="F111" s="18">
        <f>SUM(E111:E$112)</f>
        <v/>
      </c>
      <c r="G111" s="18">
        <f>D111*(1/(1+Calculator!$B$5))^(A111+1)</f>
        <v/>
      </c>
      <c r="H111" s="18">
        <f>SUM(G111:G$112)</f>
        <v/>
      </c>
    </row>
    <row r="112">
      <c r="A112" t="n">
        <v>110</v>
      </c>
      <c r="B112" s="17" t="n">
        <v>1</v>
      </c>
      <c r="C112" s="18">
        <f>C111*(1-B111)</f>
        <v/>
      </c>
      <c r="D112" s="18">
        <f>C112*B112</f>
        <v/>
      </c>
      <c r="E112" s="18">
        <f>C112*(1/(1+Calculator!$B$5))^A112</f>
        <v/>
      </c>
      <c r="F112" s="18">
        <f>SUM(E112:E$112)</f>
        <v/>
      </c>
      <c r="G112" s="18">
        <f>D112*(1/(1+Calculator!$B$5))^(A112+1)</f>
        <v/>
      </c>
      <c r="H112" s="18">
        <f>SUM(G112:G$112)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10" max="10"/>
  </cols>
  <sheetData>
    <row r="1">
      <c r="A1" s="15" t="inlineStr">
        <is>
          <t>Age x</t>
        </is>
      </c>
      <c r="B1" s="15" t="inlineStr">
        <is>
          <t>qx</t>
        </is>
      </c>
      <c r="C1" s="15" t="inlineStr">
        <is>
          <t>lx</t>
        </is>
      </c>
      <c r="D1" s="15" t="inlineStr">
        <is>
          <t>dx</t>
        </is>
      </c>
      <c r="E1" s="15" t="inlineStr">
        <is>
          <t>Dx</t>
        </is>
      </c>
      <c r="F1" s="15" t="inlineStr">
        <is>
          <t>Nx</t>
        </is>
      </c>
      <c r="G1" s="15" t="inlineStr">
        <is>
          <t>Cx</t>
        </is>
      </c>
      <c r="H1" s="15" t="inlineStr">
        <is>
          <t>Mx</t>
        </is>
      </c>
      <c r="J1" s="16" t="inlineStr">
        <is>
          <t>Mexico 2023, women</t>
        </is>
      </c>
    </row>
    <row r="2">
      <c r="A2" t="n">
        <v>0</v>
      </c>
      <c r="B2" s="17" t="n">
        <v>0.008375421892414315</v>
      </c>
      <c r="C2" s="18" t="n">
        <v>100000</v>
      </c>
      <c r="D2" s="18">
        <f>C2*B2</f>
        <v/>
      </c>
      <c r="E2" s="18">
        <f>C2*(1/(1+Calculator!$B$5))^A2</f>
        <v/>
      </c>
      <c r="F2" s="18">
        <f>SUM(E2:E$112)</f>
        <v/>
      </c>
      <c r="G2" s="18">
        <f>D2*(1/(1+Calculator!$B$5))^(A2+1)</f>
        <v/>
      </c>
      <c r="H2" s="18">
        <f>SUM(G2:G$112)</f>
        <v/>
      </c>
      <c r="J2" t="inlineStr">
        <is>
          <t>Edit the interest rate on the Calculator sheet.</t>
        </is>
      </c>
    </row>
    <row r="3">
      <c r="A3" t="n">
        <v>1</v>
      </c>
      <c r="B3" s="17" t="n">
        <v>0.0007957286637458781</v>
      </c>
      <c r="C3" s="18">
        <f>C2*(1-B2)</f>
        <v/>
      </c>
      <c r="D3" s="18">
        <f>C3*B3</f>
        <v/>
      </c>
      <c r="E3" s="18">
        <f>C3*(1/(1+Calculator!$B$5))^A3</f>
        <v/>
      </c>
      <c r="F3" s="18">
        <f>SUM(E3:E$112)</f>
        <v/>
      </c>
      <c r="G3" s="18">
        <f>D3*(1/(1+Calculator!$B$5))^(A3+1)</f>
        <v/>
      </c>
      <c r="H3" s="18">
        <f>SUM(G3:G$112)</f>
        <v/>
      </c>
    </row>
    <row r="4">
      <c r="A4" t="n">
        <v>2</v>
      </c>
      <c r="B4" s="17" t="n">
        <v>0.0005054659611263043</v>
      </c>
      <c r="C4" s="18">
        <f>C3*(1-B3)</f>
        <v/>
      </c>
      <c r="D4" s="18">
        <f>C4*B4</f>
        <v/>
      </c>
      <c r="E4" s="18">
        <f>C4*(1/(1+Calculator!$B$5))^A4</f>
        <v/>
      </c>
      <c r="F4" s="18">
        <f>SUM(E4:E$112)</f>
        <v/>
      </c>
      <c r="G4" s="18">
        <f>D4*(1/(1+Calculator!$B$5))^(A4+1)</f>
        <v/>
      </c>
      <c r="H4" s="18">
        <f>SUM(G4:G$112)</f>
        <v/>
      </c>
    </row>
    <row r="5">
      <c r="A5" t="n">
        <v>3</v>
      </c>
      <c r="B5" s="17" t="n">
        <v>0.0003499531318857213</v>
      </c>
      <c r="C5" s="18">
        <f>C4*(1-B4)</f>
        <v/>
      </c>
      <c r="D5" s="18">
        <f>C5*B5</f>
        <v/>
      </c>
      <c r="E5" s="18">
        <f>C5*(1/(1+Calculator!$B$5))^A5</f>
        <v/>
      </c>
      <c r="F5" s="18">
        <f>SUM(E5:E$112)</f>
        <v/>
      </c>
      <c r="G5" s="18">
        <f>D5*(1/(1+Calculator!$B$5))^(A5+1)</f>
        <v/>
      </c>
      <c r="H5" s="18">
        <f>SUM(G5:G$112)</f>
        <v/>
      </c>
    </row>
    <row r="6">
      <c r="A6" t="n">
        <v>4</v>
      </c>
      <c r="B6" s="17" t="n">
        <v>0.0002712730526793029</v>
      </c>
      <c r="C6" s="18">
        <f>C5*(1-B5)</f>
        <v/>
      </c>
      <c r="D6" s="18">
        <f>C6*B6</f>
        <v/>
      </c>
      <c r="E6" s="18">
        <f>C6*(1/(1+Calculator!$B$5))^A6</f>
        <v/>
      </c>
      <c r="F6" s="18">
        <f>SUM(E6:E$112)</f>
        <v/>
      </c>
      <c r="G6" s="18">
        <f>D6*(1/(1+Calculator!$B$5))^(A6+1)</f>
        <v/>
      </c>
      <c r="H6" s="18">
        <f>SUM(G6:G$112)</f>
        <v/>
      </c>
    </row>
    <row r="7">
      <c r="A7" t="n">
        <v>5</v>
      </c>
      <c r="B7" s="17" t="n">
        <v>0.000232277596023019</v>
      </c>
      <c r="C7" s="18">
        <f>C6*(1-B6)</f>
        <v/>
      </c>
      <c r="D7" s="18">
        <f>C7*B7</f>
        <v/>
      </c>
      <c r="E7" s="18">
        <f>C7*(1/(1+Calculator!$B$5))^A7</f>
        <v/>
      </c>
      <c r="F7" s="18">
        <f>SUM(E7:E$112)</f>
        <v/>
      </c>
      <c r="G7" s="18">
        <f>D7*(1/(1+Calculator!$B$5))^(A7+1)</f>
        <v/>
      </c>
      <c r="H7" s="18">
        <f>SUM(G7:G$112)</f>
        <v/>
      </c>
    </row>
    <row r="8">
      <c r="A8" t="n">
        <v>6</v>
      </c>
      <c r="B8" s="17" t="n">
        <v>0.0002129269015068042</v>
      </c>
      <c r="C8" s="18">
        <f>C7*(1-B7)</f>
        <v/>
      </c>
      <c r="D8" s="18">
        <f>C8*B8</f>
        <v/>
      </c>
      <c r="E8" s="18">
        <f>C8*(1/(1+Calculator!$B$5))^A8</f>
        <v/>
      </c>
      <c r="F8" s="18">
        <f>SUM(E8:E$112)</f>
        <v/>
      </c>
      <c r="G8" s="18">
        <f>D8*(1/(1+Calculator!$B$5))^(A8+1)</f>
        <v/>
      </c>
      <c r="H8" s="18">
        <f>SUM(G8:G$112)</f>
        <v/>
      </c>
    </row>
    <row r="9">
      <c r="A9" t="n">
        <v>7</v>
      </c>
      <c r="B9" s="17" t="n">
        <v>0.0002036818891582257</v>
      </c>
      <c r="C9" s="18">
        <f>C8*(1-B8)</f>
        <v/>
      </c>
      <c r="D9" s="18">
        <f>C9*B9</f>
        <v/>
      </c>
      <c r="E9" s="18">
        <f>C9*(1/(1+Calculator!$B$5))^A9</f>
        <v/>
      </c>
      <c r="F9" s="18">
        <f>SUM(E9:E$112)</f>
        <v/>
      </c>
      <c r="G9" s="18">
        <f>D9*(1/(1+Calculator!$B$5))^(A9+1)</f>
        <v/>
      </c>
      <c r="H9" s="18">
        <f>SUM(G9:G$112)</f>
        <v/>
      </c>
    </row>
    <row r="10">
      <c r="A10" t="n">
        <v>8</v>
      </c>
      <c r="B10" s="17" t="n">
        <v>0.0001991270086104146</v>
      </c>
      <c r="C10" s="18">
        <f>C9*(1-B9)</f>
        <v/>
      </c>
      <c r="D10" s="18">
        <f>C10*B10</f>
        <v/>
      </c>
      <c r="E10" s="18">
        <f>C10*(1/(1+Calculator!$B$5))^A10</f>
        <v/>
      </c>
      <c r="F10" s="18">
        <f>SUM(E10:E$112)</f>
        <v/>
      </c>
      <c r="G10" s="18">
        <f>D10*(1/(1+Calculator!$B$5))^(A10+1)</f>
        <v/>
      </c>
      <c r="H10" s="18">
        <f>SUM(G10:G$112)</f>
        <v/>
      </c>
    </row>
    <row r="11">
      <c r="A11" t="n">
        <v>9</v>
      </c>
      <c r="B11" s="17" t="n">
        <v>0.0001976900058801012</v>
      </c>
      <c r="C11" s="18">
        <f>C10*(1-B10)</f>
        <v/>
      </c>
      <c r="D11" s="18">
        <f>C11*B11</f>
        <v/>
      </c>
      <c r="E11" s="18">
        <f>C11*(1/(1+Calculator!$B$5))^A11</f>
        <v/>
      </c>
      <c r="F11" s="18">
        <f>SUM(E11:E$112)</f>
        <v/>
      </c>
      <c r="G11" s="18">
        <f>D11*(1/(1+Calculator!$B$5))^(A11+1)</f>
        <v/>
      </c>
      <c r="H11" s="18">
        <f>SUM(G11:G$112)</f>
        <v/>
      </c>
    </row>
    <row r="12">
      <c r="A12" t="n">
        <v>10</v>
      </c>
      <c r="B12" s="17" t="n">
        <v>0.0002017461263258168</v>
      </c>
      <c r="C12" s="18">
        <f>C11*(1-B11)</f>
        <v/>
      </c>
      <c r="D12" s="18">
        <f>C12*B12</f>
        <v/>
      </c>
      <c r="E12" s="18">
        <f>C12*(1/(1+Calculator!$B$5))^A12</f>
        <v/>
      </c>
      <c r="F12" s="18">
        <f>SUM(E12:E$112)</f>
        <v/>
      </c>
      <c r="G12" s="18">
        <f>D12*(1/(1+Calculator!$B$5))^(A12+1)</f>
        <v/>
      </c>
      <c r="H12" s="18">
        <f>SUM(G12:G$112)</f>
        <v/>
      </c>
    </row>
    <row r="13">
      <c r="A13" t="n">
        <v>11</v>
      </c>
      <c r="B13" s="17" t="n">
        <v>0.0002140222272725426</v>
      </c>
      <c r="C13" s="18">
        <f>C12*(1-B12)</f>
        <v/>
      </c>
      <c r="D13" s="18">
        <f>C13*B13</f>
        <v/>
      </c>
      <c r="E13" s="18">
        <f>C13*(1/(1+Calculator!$B$5))^A13</f>
        <v/>
      </c>
      <c r="F13" s="18">
        <f>SUM(E13:E$112)</f>
        <v/>
      </c>
      <c r="G13" s="18">
        <f>D13*(1/(1+Calculator!$B$5))^(A13+1)</f>
        <v/>
      </c>
      <c r="H13" s="18">
        <f>SUM(G13:G$112)</f>
        <v/>
      </c>
    </row>
    <row r="14">
      <c r="A14" t="n">
        <v>12</v>
      </c>
      <c r="B14" s="17" t="n">
        <v>0.0002375023306153358</v>
      </c>
      <c r="C14" s="18">
        <f>C13*(1-B13)</f>
        <v/>
      </c>
      <c r="D14" s="18">
        <f>C14*B14</f>
        <v/>
      </c>
      <c r="E14" s="18">
        <f>C14*(1/(1+Calculator!$B$5))^A14</f>
        <v/>
      </c>
      <c r="F14" s="18">
        <f>SUM(E14:E$112)</f>
        <v/>
      </c>
      <c r="G14" s="18">
        <f>D14*(1/(1+Calculator!$B$5))^(A14+1)</f>
        <v/>
      </c>
      <c r="H14" s="18">
        <f>SUM(G14:G$112)</f>
        <v/>
      </c>
    </row>
    <row r="15">
      <c r="A15" t="n">
        <v>13</v>
      </c>
      <c r="B15" s="17" t="n">
        <v>0.0002754604818824728</v>
      </c>
      <c r="C15" s="18">
        <f>C14*(1-B14)</f>
        <v/>
      </c>
      <c r="D15" s="18">
        <f>C15*B15</f>
        <v/>
      </c>
      <c r="E15" s="18">
        <f>C15*(1/(1+Calculator!$B$5))^A15</f>
        <v/>
      </c>
      <c r="F15" s="18">
        <f>SUM(E15:E$112)</f>
        <v/>
      </c>
      <c r="G15" s="18">
        <f>D15*(1/(1+Calculator!$B$5))^(A15+1)</f>
        <v/>
      </c>
      <c r="H15" s="18">
        <f>SUM(G15:G$112)</f>
        <v/>
      </c>
    </row>
    <row r="16">
      <c r="A16" t="n">
        <v>14</v>
      </c>
      <c r="B16" s="17" t="n">
        <v>0.0003251192444882794</v>
      </c>
      <c r="C16" s="18">
        <f>C15*(1-B15)</f>
        <v/>
      </c>
      <c r="D16" s="18">
        <f>C16*B16</f>
        <v/>
      </c>
      <c r="E16" s="18">
        <f>C16*(1/(1+Calculator!$B$5))^A16</f>
        <v/>
      </c>
      <c r="F16" s="18">
        <f>SUM(E16:E$112)</f>
        <v/>
      </c>
      <c r="G16" s="18">
        <f>D16*(1/(1+Calculator!$B$5))^(A16+1)</f>
        <v/>
      </c>
      <c r="H16" s="18">
        <f>SUM(G16:G$112)</f>
        <v/>
      </c>
    </row>
    <row r="17">
      <c r="A17" t="n">
        <v>15</v>
      </c>
      <c r="B17" s="17" t="n">
        <v>0.0003787534134311309</v>
      </c>
      <c r="C17" s="18">
        <f>C16*(1-B16)</f>
        <v/>
      </c>
      <c r="D17" s="18">
        <f>C17*B17</f>
        <v/>
      </c>
      <c r="E17" s="18">
        <f>C17*(1/(1+Calculator!$B$5))^A17</f>
        <v/>
      </c>
      <c r="F17" s="18">
        <f>SUM(E17:E$112)</f>
        <v/>
      </c>
      <c r="G17" s="18">
        <f>D17*(1/(1+Calculator!$B$5))^(A17+1)</f>
        <v/>
      </c>
      <c r="H17" s="18">
        <f>SUM(G17:G$112)</f>
        <v/>
      </c>
    </row>
    <row r="18">
      <c r="A18" t="n">
        <v>16</v>
      </c>
      <c r="B18" s="17" t="n">
        <v>0.0004306360393595939</v>
      </c>
      <c r="C18" s="18">
        <f>C17*(1-B17)</f>
        <v/>
      </c>
      <c r="D18" s="18">
        <f>C18*B18</f>
        <v/>
      </c>
      <c r="E18" s="18">
        <f>C18*(1/(1+Calculator!$B$5))^A18</f>
        <v/>
      </c>
      <c r="F18" s="18">
        <f>SUM(E18:E$112)</f>
        <v/>
      </c>
      <c r="G18" s="18">
        <f>D18*(1/(1+Calculator!$B$5))^(A18+1)</f>
        <v/>
      </c>
      <c r="H18" s="18">
        <f>SUM(G18:G$112)</f>
        <v/>
      </c>
    </row>
    <row r="19">
      <c r="A19" t="n">
        <v>17</v>
      </c>
      <c r="B19" s="17" t="n">
        <v>0.0004767391303240653</v>
      </c>
      <c r="C19" s="18">
        <f>C18*(1-B18)</f>
        <v/>
      </c>
      <c r="D19" s="18">
        <f>C19*B19</f>
        <v/>
      </c>
      <c r="E19" s="18">
        <f>C19*(1/(1+Calculator!$B$5))^A19</f>
        <v/>
      </c>
      <c r="F19" s="18">
        <f>SUM(E19:E$112)</f>
        <v/>
      </c>
      <c r="G19" s="18">
        <f>D19*(1/(1+Calculator!$B$5))^(A19+1)</f>
        <v/>
      </c>
      <c r="H19" s="18">
        <f>SUM(G19:G$112)</f>
        <v/>
      </c>
    </row>
    <row r="20">
      <c r="A20" t="n">
        <v>18</v>
      </c>
      <c r="B20" s="17" t="n">
        <v>0.0005147436023620966</v>
      </c>
      <c r="C20" s="18">
        <f>C19*(1-B19)</f>
        <v/>
      </c>
      <c r="D20" s="18">
        <f>C20*B20</f>
        <v/>
      </c>
      <c r="E20" s="18">
        <f>C20*(1/(1+Calculator!$B$5))^A20</f>
        <v/>
      </c>
      <c r="F20" s="18">
        <f>SUM(E20:E$112)</f>
        <v/>
      </c>
      <c r="G20" s="18">
        <f>D20*(1/(1+Calculator!$B$5))^(A20+1)</f>
        <v/>
      </c>
      <c r="H20" s="18">
        <f>SUM(G20:G$112)</f>
        <v/>
      </c>
    </row>
    <row r="21">
      <c r="A21" t="n">
        <v>19</v>
      </c>
      <c r="B21" s="17" t="n">
        <v>0.0005446047166637172</v>
      </c>
      <c r="C21" s="18">
        <f>C20*(1-B20)</f>
        <v/>
      </c>
      <c r="D21" s="18">
        <f>C21*B21</f>
        <v/>
      </c>
      <c r="E21" s="18">
        <f>C21*(1/(1+Calculator!$B$5))^A21</f>
        <v/>
      </c>
      <c r="F21" s="18">
        <f>SUM(E21:E$112)</f>
        <v/>
      </c>
      <c r="G21" s="18">
        <f>D21*(1/(1+Calculator!$B$5))^(A21+1)</f>
        <v/>
      </c>
      <c r="H21" s="18">
        <f>SUM(G21:G$112)</f>
        <v/>
      </c>
    </row>
    <row r="22">
      <c r="A22" t="n">
        <v>20</v>
      </c>
      <c r="B22" s="17" t="n">
        <v>0.0005666507539859949</v>
      </c>
      <c r="C22" s="18">
        <f>C21*(1-B21)</f>
        <v/>
      </c>
      <c r="D22" s="18">
        <f>C22*B22</f>
        <v/>
      </c>
      <c r="E22" s="18">
        <f>C22*(1/(1+Calculator!$B$5))^A22</f>
        <v/>
      </c>
      <c r="F22" s="18">
        <f>SUM(E22:E$112)</f>
        <v/>
      </c>
      <c r="G22" s="18">
        <f>D22*(1/(1+Calculator!$B$5))^(A22+1)</f>
        <v/>
      </c>
      <c r="H22" s="18">
        <f>SUM(G22:G$112)</f>
        <v/>
      </c>
    </row>
    <row r="23">
      <c r="A23" t="n">
        <v>21</v>
      </c>
      <c r="B23" s="17" t="n">
        <v>0.0005810251246590289</v>
      </c>
      <c r="C23" s="18">
        <f>C22*(1-B22)</f>
        <v/>
      </c>
      <c r="D23" s="18">
        <f>C23*B23</f>
        <v/>
      </c>
      <c r="E23" s="18">
        <f>C23*(1/(1+Calculator!$B$5))^A23</f>
        <v/>
      </c>
      <c r="F23" s="18">
        <f>SUM(E23:E$112)</f>
        <v/>
      </c>
      <c r="G23" s="18">
        <f>D23*(1/(1+Calculator!$B$5))^(A23+1)</f>
        <v/>
      </c>
      <c r="H23" s="18">
        <f>SUM(G23:G$112)</f>
        <v/>
      </c>
    </row>
    <row r="24">
      <c r="A24" t="n">
        <v>22</v>
      </c>
      <c r="B24" s="17" t="n">
        <v>0.000589024873419015</v>
      </c>
      <c r="C24" s="18">
        <f>C23*(1-B23)</f>
        <v/>
      </c>
      <c r="D24" s="18">
        <f>C24*B24</f>
        <v/>
      </c>
      <c r="E24" s="18">
        <f>C24*(1/(1+Calculator!$B$5))^A24</f>
        <v/>
      </c>
      <c r="F24" s="18">
        <f>SUM(E24:E$112)</f>
        <v/>
      </c>
      <c r="G24" s="18">
        <f>D24*(1/(1+Calculator!$B$5))^(A24+1)</f>
        <v/>
      </c>
      <c r="H24" s="18">
        <f>SUM(G24:G$112)</f>
        <v/>
      </c>
    </row>
    <row r="25">
      <c r="A25" t="n">
        <v>23</v>
      </c>
      <c r="B25" s="17" t="n">
        <v>0.0005940013633038479</v>
      </c>
      <c r="C25" s="18">
        <f>C24*(1-B24)</f>
        <v/>
      </c>
      <c r="D25" s="18">
        <f>C25*B25</f>
        <v/>
      </c>
      <c r="E25" s="18">
        <f>C25*(1/(1+Calculator!$B$5))^A25</f>
        <v/>
      </c>
      <c r="F25" s="18">
        <f>SUM(E25:E$112)</f>
        <v/>
      </c>
      <c r="G25" s="18">
        <f>D25*(1/(1+Calculator!$B$5))^(A25+1)</f>
        <v/>
      </c>
      <c r="H25" s="18">
        <f>SUM(G25:G$112)</f>
        <v/>
      </c>
    </row>
    <row r="26">
      <c r="A26" t="n">
        <v>24</v>
      </c>
      <c r="B26" s="17" t="n">
        <v>0.0006002468736324693</v>
      </c>
      <c r="C26" s="18">
        <f>C25*(1-B25)</f>
        <v/>
      </c>
      <c r="D26" s="18">
        <f>C26*B26</f>
        <v/>
      </c>
      <c r="E26" s="18">
        <f>C26*(1/(1+Calculator!$B$5))^A26</f>
        <v/>
      </c>
      <c r="F26" s="18">
        <f>SUM(E26:E$112)</f>
        <v/>
      </c>
      <c r="G26" s="18">
        <f>D26*(1/(1+Calculator!$B$5))^(A26+1)</f>
        <v/>
      </c>
      <c r="H26" s="18">
        <f>SUM(G26:G$112)</f>
        <v/>
      </c>
    </row>
    <row r="27">
      <c r="A27" t="n">
        <v>25</v>
      </c>
      <c r="B27" s="17" t="n">
        <v>0.0006142336897701954</v>
      </c>
      <c r="C27" s="18">
        <f>C26*(1-B26)</f>
        <v/>
      </c>
      <c r="D27" s="18">
        <f>C27*B27</f>
        <v/>
      </c>
      <c r="E27" s="18">
        <f>C27*(1/(1+Calculator!$B$5))^A27</f>
        <v/>
      </c>
      <c r="F27" s="18">
        <f>SUM(E27:E$112)</f>
        <v/>
      </c>
      <c r="G27" s="18">
        <f>D27*(1/(1+Calculator!$B$5))^(A27+1)</f>
        <v/>
      </c>
      <c r="H27" s="18">
        <f>SUM(G27:G$112)</f>
        <v/>
      </c>
    </row>
    <row r="28">
      <c r="A28" t="n">
        <v>26</v>
      </c>
      <c r="B28" s="17" t="n">
        <v>0.00064288799849414</v>
      </c>
      <c r="C28" s="18">
        <f>C27*(1-B27)</f>
        <v/>
      </c>
      <c r="D28" s="18">
        <f>C28*B28</f>
        <v/>
      </c>
      <c r="E28" s="18">
        <f>C28*(1/(1+Calculator!$B$5))^A28</f>
        <v/>
      </c>
      <c r="F28" s="18">
        <f>SUM(E28:E$112)</f>
        <v/>
      </c>
      <c r="G28" s="18">
        <f>D28*(1/(1+Calculator!$B$5))^(A28+1)</f>
        <v/>
      </c>
      <c r="H28" s="18">
        <f>SUM(G28:G$112)</f>
        <v/>
      </c>
    </row>
    <row r="29">
      <c r="A29" t="n">
        <v>27</v>
      </c>
      <c r="B29" s="17" t="n">
        <v>0.000688246725566857</v>
      </c>
      <c r="C29" s="18">
        <f>C28*(1-B28)</f>
        <v/>
      </c>
      <c r="D29" s="18">
        <f>C29*B29</f>
        <v/>
      </c>
      <c r="E29" s="18">
        <f>C29*(1/(1+Calculator!$B$5))^A29</f>
        <v/>
      </c>
      <c r="F29" s="18">
        <f>SUM(E29:E$112)</f>
        <v/>
      </c>
      <c r="G29" s="18">
        <f>D29*(1/(1+Calculator!$B$5))^(A29+1)</f>
        <v/>
      </c>
      <c r="H29" s="18">
        <f>SUM(G29:G$112)</f>
        <v/>
      </c>
    </row>
    <row r="30">
      <c r="A30" t="n">
        <v>28</v>
      </c>
      <c r="B30" s="17" t="n">
        <v>0.0007497132470019358</v>
      </c>
      <c r="C30" s="18">
        <f>C29*(1-B29)</f>
        <v/>
      </c>
      <c r="D30" s="18">
        <f>C30*B30</f>
        <v/>
      </c>
      <c r="E30" s="18">
        <f>C30*(1/(1+Calculator!$B$5))^A30</f>
        <v/>
      </c>
      <c r="F30" s="18">
        <f>SUM(E30:E$112)</f>
        <v/>
      </c>
      <c r="G30" s="18">
        <f>D30*(1/(1+Calculator!$B$5))^(A30+1)</f>
        <v/>
      </c>
      <c r="H30" s="18">
        <f>SUM(G30:G$112)</f>
        <v/>
      </c>
    </row>
    <row r="31">
      <c r="A31" t="n">
        <v>29</v>
      </c>
      <c r="B31" s="17" t="n">
        <v>0.0008171638538480549</v>
      </c>
      <c r="C31" s="18">
        <f>C30*(1-B30)</f>
        <v/>
      </c>
      <c r="D31" s="18">
        <f>C31*B31</f>
        <v/>
      </c>
      <c r="E31" s="18">
        <f>C31*(1/(1+Calculator!$B$5))^A31</f>
        <v/>
      </c>
      <c r="F31" s="18">
        <f>SUM(E31:E$112)</f>
        <v/>
      </c>
      <c r="G31" s="18">
        <f>D31*(1/(1+Calculator!$B$5))^(A31+1)</f>
        <v/>
      </c>
      <c r="H31" s="18">
        <f>SUM(G31:G$112)</f>
        <v/>
      </c>
    </row>
    <row r="32">
      <c r="A32" t="n">
        <v>30</v>
      </c>
      <c r="B32" s="17" t="n">
        <v>0.0008691758828153761</v>
      </c>
      <c r="C32" s="18">
        <f>C31*(1-B31)</f>
        <v/>
      </c>
      <c r="D32" s="18">
        <f>C32*B32</f>
        <v/>
      </c>
      <c r="E32" s="18">
        <f>C32*(1/(1+Calculator!$B$5))^A32</f>
        <v/>
      </c>
      <c r="F32" s="18">
        <f>SUM(E32:E$112)</f>
        <v/>
      </c>
      <c r="G32" s="18">
        <f>D32*(1/(1+Calculator!$B$5))^(A32+1)</f>
        <v/>
      </c>
      <c r="H32" s="18">
        <f>SUM(G32:G$112)</f>
        <v/>
      </c>
    </row>
    <row r="33">
      <c r="A33" t="n">
        <v>31</v>
      </c>
      <c r="B33" s="17" t="n">
        <v>0.0008997987589353043</v>
      </c>
      <c r="C33" s="18">
        <f>C32*(1-B32)</f>
        <v/>
      </c>
      <c r="D33" s="18">
        <f>C33*B33</f>
        <v/>
      </c>
      <c r="E33" s="18">
        <f>C33*(1/(1+Calculator!$B$5))^A33</f>
        <v/>
      </c>
      <c r="F33" s="18">
        <f>SUM(E33:E$112)</f>
        <v/>
      </c>
      <c r="G33" s="18">
        <f>D33*(1/(1+Calculator!$B$5))^(A33+1)</f>
        <v/>
      </c>
      <c r="H33" s="18">
        <f>SUM(G33:G$112)</f>
        <v/>
      </c>
    </row>
    <row r="34">
      <c r="A34" t="n">
        <v>32</v>
      </c>
      <c r="B34" s="17" t="n">
        <v>0.0009311538623680455</v>
      </c>
      <c r="C34" s="18">
        <f>C33*(1-B33)</f>
        <v/>
      </c>
      <c r="D34" s="18">
        <f>C34*B34</f>
        <v/>
      </c>
      <c r="E34" s="18">
        <f>C34*(1/(1+Calculator!$B$5))^A34</f>
        <v/>
      </c>
      <c r="F34" s="18">
        <f>SUM(E34:E$112)</f>
        <v/>
      </c>
      <c r="G34" s="18">
        <f>D34*(1/(1+Calculator!$B$5))^(A34+1)</f>
        <v/>
      </c>
      <c r="H34" s="18">
        <f>SUM(G34:G$112)</f>
        <v/>
      </c>
    </row>
    <row r="35">
      <c r="A35" t="n">
        <v>33</v>
      </c>
      <c r="B35" s="17" t="n">
        <v>0.0009787049296450902</v>
      </c>
      <c r="C35" s="18">
        <f>C34*(1-B34)</f>
        <v/>
      </c>
      <c r="D35" s="18">
        <f>C35*B35</f>
        <v/>
      </c>
      <c r="E35" s="18">
        <f>C35*(1/(1+Calculator!$B$5))^A35</f>
        <v/>
      </c>
      <c r="F35" s="18">
        <f>SUM(E35:E$112)</f>
        <v/>
      </c>
      <c r="G35" s="18">
        <f>D35*(1/(1+Calculator!$B$5))^(A35+1)</f>
        <v/>
      </c>
      <c r="H35" s="18">
        <f>SUM(G35:G$112)</f>
        <v/>
      </c>
    </row>
    <row r="36">
      <c r="A36" t="n">
        <v>34</v>
      </c>
      <c r="B36" s="17" t="n">
        <v>0.001031812445723745</v>
      </c>
      <c r="C36" s="18">
        <f>C35*(1-B35)</f>
        <v/>
      </c>
      <c r="D36" s="18">
        <f>C36*B36</f>
        <v/>
      </c>
      <c r="E36" s="18">
        <f>C36*(1/(1+Calculator!$B$5))^A36</f>
        <v/>
      </c>
      <c r="F36" s="18">
        <f>SUM(E36:E$112)</f>
        <v/>
      </c>
      <c r="G36" s="18">
        <f>D36*(1/(1+Calculator!$B$5))^(A36+1)</f>
        <v/>
      </c>
      <c r="H36" s="18">
        <f>SUM(G36:G$112)</f>
        <v/>
      </c>
    </row>
    <row r="37">
      <c r="A37" t="n">
        <v>35</v>
      </c>
      <c r="B37" s="17" t="n">
        <v>0.00107889981757224</v>
      </c>
      <c r="C37" s="18">
        <f>C36*(1-B36)</f>
        <v/>
      </c>
      <c r="D37" s="18">
        <f>C37*B37</f>
        <v/>
      </c>
      <c r="E37" s="18">
        <f>C37*(1/(1+Calculator!$B$5))^A37</f>
        <v/>
      </c>
      <c r="F37" s="18">
        <f>SUM(E37:E$112)</f>
        <v/>
      </c>
      <c r="G37" s="18">
        <f>D37*(1/(1+Calculator!$B$5))^(A37+1)</f>
        <v/>
      </c>
      <c r="H37" s="18">
        <f>SUM(G37:G$112)</f>
        <v/>
      </c>
    </row>
    <row r="38">
      <c r="A38" t="n">
        <v>36</v>
      </c>
      <c r="B38" s="17" t="n">
        <v>0.001129227757799777</v>
      </c>
      <c r="C38" s="18">
        <f>C37*(1-B37)</f>
        <v/>
      </c>
      <c r="D38" s="18">
        <f>C38*B38</f>
        <v/>
      </c>
      <c r="E38" s="18">
        <f>C38*(1/(1+Calculator!$B$5))^A38</f>
        <v/>
      </c>
      <c r="F38" s="18">
        <f>SUM(E38:E$112)</f>
        <v/>
      </c>
      <c r="G38" s="18">
        <f>D38*(1/(1+Calculator!$B$5))^(A38+1)</f>
        <v/>
      </c>
      <c r="H38" s="18">
        <f>SUM(G38:G$112)</f>
        <v/>
      </c>
    </row>
    <row r="39">
      <c r="A39" t="n">
        <v>37</v>
      </c>
      <c r="B39" s="17" t="n">
        <v>0.001198272671036942</v>
      </c>
      <c r="C39" s="18">
        <f>C38*(1-B38)</f>
        <v/>
      </c>
      <c r="D39" s="18">
        <f>C39*B39</f>
        <v/>
      </c>
      <c r="E39" s="18">
        <f>C39*(1/(1+Calculator!$B$5))^A39</f>
        <v/>
      </c>
      <c r="F39" s="18">
        <f>SUM(E39:E$112)</f>
        <v/>
      </c>
      <c r="G39" s="18">
        <f>D39*(1/(1+Calculator!$B$5))^(A39+1)</f>
        <v/>
      </c>
      <c r="H39" s="18">
        <f>SUM(G39:G$112)</f>
        <v/>
      </c>
    </row>
    <row r="40">
      <c r="A40" t="n">
        <v>38</v>
      </c>
      <c r="B40" s="17" t="n">
        <v>0.001291299158780993</v>
      </c>
      <c r="C40" s="18">
        <f>C39*(1-B39)</f>
        <v/>
      </c>
      <c r="D40" s="18">
        <f>C40*B40</f>
        <v/>
      </c>
      <c r="E40" s="18">
        <f>C40*(1/(1+Calculator!$B$5))^A40</f>
        <v/>
      </c>
      <c r="F40" s="18">
        <f>SUM(E40:E$112)</f>
        <v/>
      </c>
      <c r="G40" s="18">
        <f>D40*(1/(1+Calculator!$B$5))^(A40+1)</f>
        <v/>
      </c>
      <c r="H40" s="18">
        <f>SUM(G40:G$112)</f>
        <v/>
      </c>
    </row>
    <row r="41">
      <c r="A41" t="n">
        <v>39</v>
      </c>
      <c r="B41" s="17" t="n">
        <v>0.001408146273962571</v>
      </c>
      <c r="C41" s="18">
        <f>C40*(1-B40)</f>
        <v/>
      </c>
      <c r="D41" s="18">
        <f>C41*B41</f>
        <v/>
      </c>
      <c r="E41" s="18">
        <f>C41*(1/(1+Calculator!$B$5))^A41</f>
        <v/>
      </c>
      <c r="F41" s="18">
        <f>SUM(E41:E$112)</f>
        <v/>
      </c>
      <c r="G41" s="18">
        <f>D41*(1/(1+Calculator!$B$5))^(A41+1)</f>
        <v/>
      </c>
      <c r="H41" s="18">
        <f>SUM(G41:G$112)</f>
        <v/>
      </c>
    </row>
    <row r="42">
      <c r="A42" t="n">
        <v>40</v>
      </c>
      <c r="B42" s="17" t="n">
        <v>0.001542674416252538</v>
      </c>
      <c r="C42" s="18">
        <f>C41*(1-B41)</f>
        <v/>
      </c>
      <c r="D42" s="18">
        <f>C42*B42</f>
        <v/>
      </c>
      <c r="E42" s="18">
        <f>C42*(1/(1+Calculator!$B$5))^A42</f>
        <v/>
      </c>
      <c r="F42" s="18">
        <f>SUM(E42:E$112)</f>
        <v/>
      </c>
      <c r="G42" s="18">
        <f>D42*(1/(1+Calculator!$B$5))^(A42+1)</f>
        <v/>
      </c>
      <c r="H42" s="18">
        <f>SUM(G42:G$112)</f>
        <v/>
      </c>
    </row>
    <row r="43">
      <c r="A43" t="n">
        <v>41</v>
      </c>
      <c r="B43" s="17" t="n">
        <v>0.00168121264247574</v>
      </c>
      <c r="C43" s="18">
        <f>C42*(1-B42)</f>
        <v/>
      </c>
      <c r="D43" s="18">
        <f>C43*B43</f>
        <v/>
      </c>
      <c r="E43" s="18">
        <f>C43*(1/(1+Calculator!$B$5))^A43</f>
        <v/>
      </c>
      <c r="F43" s="18">
        <f>SUM(E43:E$112)</f>
        <v/>
      </c>
      <c r="G43" s="18">
        <f>D43*(1/(1+Calculator!$B$5))^(A43+1)</f>
        <v/>
      </c>
      <c r="H43" s="18">
        <f>SUM(G43:G$112)</f>
        <v/>
      </c>
    </row>
    <row r="44">
      <c r="A44" t="n">
        <v>42</v>
      </c>
      <c r="B44" s="17" t="n">
        <v>0.001817704705031669</v>
      </c>
      <c r="C44" s="18">
        <f>C43*(1-B43)</f>
        <v/>
      </c>
      <c r="D44" s="18">
        <f>C44*B44</f>
        <v/>
      </c>
      <c r="E44" s="18">
        <f>C44*(1/(1+Calculator!$B$5))^A44</f>
        <v/>
      </c>
      <c r="F44" s="18">
        <f>SUM(E44:E$112)</f>
        <v/>
      </c>
      <c r="G44" s="18">
        <f>D44*(1/(1+Calculator!$B$5))^(A44+1)</f>
        <v/>
      </c>
      <c r="H44" s="18">
        <f>SUM(G44:G$112)</f>
        <v/>
      </c>
    </row>
    <row r="45">
      <c r="A45" t="n">
        <v>43</v>
      </c>
      <c r="B45" s="17" t="n">
        <v>0.001962849281037119</v>
      </c>
      <c r="C45" s="18">
        <f>C44*(1-B44)</f>
        <v/>
      </c>
      <c r="D45" s="18">
        <f>C45*B45</f>
        <v/>
      </c>
      <c r="E45" s="18">
        <f>C45*(1/(1+Calculator!$B$5))^A45</f>
        <v/>
      </c>
      <c r="F45" s="18">
        <f>SUM(E45:E$112)</f>
        <v/>
      </c>
      <c r="G45" s="18">
        <f>D45*(1/(1+Calculator!$B$5))^(A45+1)</f>
        <v/>
      </c>
      <c r="H45" s="18">
        <f>SUM(G45:G$112)</f>
        <v/>
      </c>
    </row>
    <row r="46">
      <c r="A46" t="n">
        <v>44</v>
      </c>
      <c r="B46" s="17" t="n">
        <v>0.002127732144765393</v>
      </c>
      <c r="C46" s="18">
        <f>C45*(1-B45)</f>
        <v/>
      </c>
      <c r="D46" s="18">
        <f>C46*B46</f>
        <v/>
      </c>
      <c r="E46" s="18">
        <f>C46*(1/(1+Calculator!$B$5))^A46</f>
        <v/>
      </c>
      <c r="F46" s="18">
        <f>SUM(E46:E$112)</f>
        <v/>
      </c>
      <c r="G46" s="18">
        <f>D46*(1/(1+Calculator!$B$5))^(A46+1)</f>
        <v/>
      </c>
      <c r="H46" s="18">
        <f>SUM(G46:G$112)</f>
        <v/>
      </c>
    </row>
    <row r="47">
      <c r="A47" t="n">
        <v>45</v>
      </c>
      <c r="B47" s="17" t="n">
        <v>0.002315427912640013</v>
      </c>
      <c r="C47" s="18">
        <f>C46*(1-B46)</f>
        <v/>
      </c>
      <c r="D47" s="18">
        <f>C47*B47</f>
        <v/>
      </c>
      <c r="E47" s="18">
        <f>C47*(1/(1+Calculator!$B$5))^A47</f>
        <v/>
      </c>
      <c r="F47" s="18">
        <f>SUM(E47:E$112)</f>
        <v/>
      </c>
      <c r="G47" s="18">
        <f>D47*(1/(1+Calculator!$B$5))^(A47+1)</f>
        <v/>
      </c>
      <c r="H47" s="18">
        <f>SUM(G47:G$112)</f>
        <v/>
      </c>
    </row>
    <row r="48">
      <c r="A48" t="n">
        <v>46</v>
      </c>
      <c r="B48" s="17" t="n">
        <v>0.002527773111360268</v>
      </c>
      <c r="C48" s="18">
        <f>C47*(1-B47)</f>
        <v/>
      </c>
      <c r="D48" s="18">
        <f>C48*B48</f>
        <v/>
      </c>
      <c r="E48" s="18">
        <f>C48*(1/(1+Calculator!$B$5))^A48</f>
        <v/>
      </c>
      <c r="F48" s="18">
        <f>SUM(E48:E$112)</f>
        <v/>
      </c>
      <c r="G48" s="18">
        <f>D48*(1/(1+Calculator!$B$5))^(A48+1)</f>
        <v/>
      </c>
      <c r="H48" s="18">
        <f>SUM(G48:G$112)</f>
        <v/>
      </c>
    </row>
    <row r="49">
      <c r="A49" t="n">
        <v>47</v>
      </c>
      <c r="B49" s="17" t="n">
        <v>0.002766238094955394</v>
      </c>
      <c r="C49" s="18">
        <f>C48*(1-B48)</f>
        <v/>
      </c>
      <c r="D49" s="18">
        <f>C49*B49</f>
        <v/>
      </c>
      <c r="E49" s="18">
        <f>C49*(1/(1+Calculator!$B$5))^A49</f>
        <v/>
      </c>
      <c r="F49" s="18">
        <f>SUM(E49:E$112)</f>
        <v/>
      </c>
      <c r="G49" s="18">
        <f>D49*(1/(1+Calculator!$B$5))^(A49+1)</f>
        <v/>
      </c>
      <c r="H49" s="18">
        <f>SUM(G49:G$112)</f>
        <v/>
      </c>
    </row>
    <row r="50">
      <c r="A50" t="n">
        <v>48</v>
      </c>
      <c r="B50" s="17" t="n">
        <v>0.003030560278240472</v>
      </c>
      <c r="C50" s="18">
        <f>C49*(1-B49)</f>
        <v/>
      </c>
      <c r="D50" s="18">
        <f>C50*B50</f>
        <v/>
      </c>
      <c r="E50" s="18">
        <f>C50*(1/(1+Calculator!$B$5))^A50</f>
        <v/>
      </c>
      <c r="F50" s="18">
        <f>SUM(E50:E$112)</f>
        <v/>
      </c>
      <c r="G50" s="18">
        <f>D50*(1/(1+Calculator!$B$5))^(A50+1)</f>
        <v/>
      </c>
      <c r="H50" s="18">
        <f>SUM(G50:G$112)</f>
        <v/>
      </c>
    </row>
    <row r="51">
      <c r="A51" t="n">
        <v>49</v>
      </c>
      <c r="B51" s="17" t="n">
        <v>0.00330819492456772</v>
      </c>
      <c r="C51" s="18">
        <f>C50*(1-B50)</f>
        <v/>
      </c>
      <c r="D51" s="18">
        <f>C51*B51</f>
        <v/>
      </c>
      <c r="E51" s="18">
        <f>C51*(1/(1+Calculator!$B$5))^A51</f>
        <v/>
      </c>
      <c r="F51" s="18">
        <f>SUM(E51:E$112)</f>
        <v/>
      </c>
      <c r="G51" s="18">
        <f>D51*(1/(1+Calculator!$B$5))^(A51+1)</f>
        <v/>
      </c>
      <c r="H51" s="18">
        <f>SUM(G51:G$112)</f>
        <v/>
      </c>
    </row>
    <row r="52">
      <c r="A52" t="n">
        <v>50</v>
      </c>
      <c r="B52" s="17" t="n">
        <v>0.003577656631908684</v>
      </c>
      <c r="C52" s="18">
        <f>C51*(1-B51)</f>
        <v/>
      </c>
      <c r="D52" s="18">
        <f>C52*B52</f>
        <v/>
      </c>
      <c r="E52" s="18">
        <f>C52*(1/(1+Calculator!$B$5))^A52</f>
        <v/>
      </c>
      <c r="F52" s="18">
        <f>SUM(E52:E$112)</f>
        <v/>
      </c>
      <c r="G52" s="18">
        <f>D52*(1/(1+Calculator!$B$5))^(A52+1)</f>
        <v/>
      </c>
      <c r="H52" s="18">
        <f>SUM(G52:G$112)</f>
        <v/>
      </c>
    </row>
    <row r="53">
      <c r="A53" t="n">
        <v>51</v>
      </c>
      <c r="B53" s="17" t="n">
        <v>0.003839530617932616</v>
      </c>
      <c r="C53" s="18">
        <f>C52*(1-B52)</f>
        <v/>
      </c>
      <c r="D53" s="18">
        <f>C53*B53</f>
        <v/>
      </c>
      <c r="E53" s="18">
        <f>C53*(1/(1+Calculator!$B$5))^A53</f>
        <v/>
      </c>
      <c r="F53" s="18">
        <f>SUM(E53:E$112)</f>
        <v/>
      </c>
      <c r="G53" s="18">
        <f>D53*(1/(1+Calculator!$B$5))^(A53+1)</f>
        <v/>
      </c>
      <c r="H53" s="18">
        <f>SUM(G53:G$112)</f>
        <v/>
      </c>
    </row>
    <row r="54">
      <c r="A54" t="n">
        <v>52</v>
      </c>
      <c r="B54" s="17" t="n">
        <v>0.004119435012643964</v>
      </c>
      <c r="C54" s="18">
        <f>C53*(1-B53)</f>
        <v/>
      </c>
      <c r="D54" s="18">
        <f>C54*B54</f>
        <v/>
      </c>
      <c r="E54" s="18">
        <f>C54*(1/(1+Calculator!$B$5))^A54</f>
        <v/>
      </c>
      <c r="F54" s="18">
        <f>SUM(E54:E$112)</f>
        <v/>
      </c>
      <c r="G54" s="18">
        <f>D54*(1/(1+Calculator!$B$5))^(A54+1)</f>
        <v/>
      </c>
      <c r="H54" s="18">
        <f>SUM(G54:G$112)</f>
        <v/>
      </c>
    </row>
    <row r="55">
      <c r="A55" t="n">
        <v>53</v>
      </c>
      <c r="B55" s="17" t="n">
        <v>0.004447986752874728</v>
      </c>
      <c r="C55" s="18">
        <f>C54*(1-B54)</f>
        <v/>
      </c>
      <c r="D55" s="18">
        <f>C55*B55</f>
        <v/>
      </c>
      <c r="E55" s="18">
        <f>C55*(1/(1+Calculator!$B$5))^A55</f>
        <v/>
      </c>
      <c r="F55" s="18">
        <f>SUM(E55:E$112)</f>
        <v/>
      </c>
      <c r="G55" s="18">
        <f>D55*(1/(1+Calculator!$B$5))^(A55+1)</f>
        <v/>
      </c>
      <c r="H55" s="18">
        <f>SUM(G55:G$112)</f>
        <v/>
      </c>
    </row>
    <row r="56">
      <c r="A56" t="n">
        <v>54</v>
      </c>
      <c r="B56" s="17" t="n">
        <v>0.004859930246570628</v>
      </c>
      <c r="C56" s="18">
        <f>C55*(1-B55)</f>
        <v/>
      </c>
      <c r="D56" s="18">
        <f>C56*B56</f>
        <v/>
      </c>
      <c r="E56" s="18">
        <f>C56*(1/(1+Calculator!$B$5))^A56</f>
        <v/>
      </c>
      <c r="F56" s="18">
        <f>SUM(E56:E$112)</f>
        <v/>
      </c>
      <c r="G56" s="18">
        <f>D56*(1/(1+Calculator!$B$5))^(A56+1)</f>
        <v/>
      </c>
      <c r="H56" s="18">
        <f>SUM(G56:G$112)</f>
        <v/>
      </c>
    </row>
    <row r="57">
      <c r="A57" t="n">
        <v>55</v>
      </c>
      <c r="B57" s="17" t="n">
        <v>0.005373358776318662</v>
      </c>
      <c r="C57" s="18">
        <f>C56*(1-B56)</f>
        <v/>
      </c>
      <c r="D57" s="18">
        <f>C57*B57</f>
        <v/>
      </c>
      <c r="E57" s="18">
        <f>C57*(1/(1+Calculator!$B$5))^A57</f>
        <v/>
      </c>
      <c r="F57" s="18">
        <f>SUM(E57:E$112)</f>
        <v/>
      </c>
      <c r="G57" s="18">
        <f>D57*(1/(1+Calculator!$B$5))^(A57+1)</f>
        <v/>
      </c>
      <c r="H57" s="18">
        <f>SUM(G57:G$112)</f>
        <v/>
      </c>
    </row>
    <row r="58">
      <c r="A58" t="n">
        <v>56</v>
      </c>
      <c r="B58" s="17" t="n">
        <v>0.00594048146950755</v>
      </c>
      <c r="C58" s="18">
        <f>C57*(1-B57)</f>
        <v/>
      </c>
      <c r="D58" s="18">
        <f>C58*B58</f>
        <v/>
      </c>
      <c r="E58" s="18">
        <f>C58*(1/(1+Calculator!$B$5))^A58</f>
        <v/>
      </c>
      <c r="F58" s="18">
        <f>SUM(E58:E$112)</f>
        <v/>
      </c>
      <c r="G58" s="18">
        <f>D58*(1/(1+Calculator!$B$5))^(A58+1)</f>
        <v/>
      </c>
      <c r="H58" s="18">
        <f>SUM(G58:G$112)</f>
        <v/>
      </c>
    </row>
    <row r="59">
      <c r="A59" t="n">
        <v>57</v>
      </c>
      <c r="B59" s="17" t="n">
        <v>0.006500999303920168</v>
      </c>
      <c r="C59" s="18">
        <f>C58*(1-B58)</f>
        <v/>
      </c>
      <c r="D59" s="18">
        <f>C59*B59</f>
        <v/>
      </c>
      <c r="E59" s="18">
        <f>C59*(1/(1+Calculator!$B$5))^A59</f>
        <v/>
      </c>
      <c r="F59" s="18">
        <f>SUM(E59:E$112)</f>
        <v/>
      </c>
      <c r="G59" s="18">
        <f>D59*(1/(1+Calculator!$B$5))^(A59+1)</f>
        <v/>
      </c>
      <c r="H59" s="18">
        <f>SUM(G59:G$112)</f>
        <v/>
      </c>
    </row>
    <row r="60">
      <c r="A60" t="n">
        <v>58</v>
      </c>
      <c r="B60" s="17" t="n">
        <v>0.007069444432087417</v>
      </c>
      <c r="C60" s="18">
        <f>C59*(1-B59)</f>
        <v/>
      </c>
      <c r="D60" s="18">
        <f>C60*B60</f>
        <v/>
      </c>
      <c r="E60" s="18">
        <f>C60*(1/(1+Calculator!$B$5))^A60</f>
        <v/>
      </c>
      <c r="F60" s="18">
        <f>SUM(E60:E$112)</f>
        <v/>
      </c>
      <c r="G60" s="18">
        <f>D60*(1/(1+Calculator!$B$5))^(A60+1)</f>
        <v/>
      </c>
      <c r="H60" s="18">
        <f>SUM(G60:G$112)</f>
        <v/>
      </c>
    </row>
    <row r="61">
      <c r="A61" t="n">
        <v>59</v>
      </c>
      <c r="B61" s="17" t="n">
        <v>0.00769255073266701</v>
      </c>
      <c r="C61" s="18">
        <f>C60*(1-B60)</f>
        <v/>
      </c>
      <c r="D61" s="18">
        <f>C61*B61</f>
        <v/>
      </c>
      <c r="E61" s="18">
        <f>C61*(1/(1+Calculator!$B$5))^A61</f>
        <v/>
      </c>
      <c r="F61" s="18">
        <f>SUM(E61:E$112)</f>
        <v/>
      </c>
      <c r="G61" s="18">
        <f>D61*(1/(1+Calculator!$B$5))^(A61+1)</f>
        <v/>
      </c>
      <c r="H61" s="18">
        <f>SUM(G61:G$112)</f>
        <v/>
      </c>
    </row>
    <row r="62">
      <c r="A62" t="n">
        <v>60</v>
      </c>
      <c r="B62" s="17" t="n">
        <v>0.008414876985503453</v>
      </c>
      <c r="C62" s="18">
        <f>C61*(1-B61)</f>
        <v/>
      </c>
      <c r="D62" s="18">
        <f>C62*B62</f>
        <v/>
      </c>
      <c r="E62" s="18">
        <f>C62*(1/(1+Calculator!$B$5))^A62</f>
        <v/>
      </c>
      <c r="F62" s="18">
        <f>SUM(E62:E$112)</f>
        <v/>
      </c>
      <c r="G62" s="18">
        <f>D62*(1/(1+Calculator!$B$5))^(A62+1)</f>
        <v/>
      </c>
      <c r="H62" s="18">
        <f>SUM(G62:G$112)</f>
        <v/>
      </c>
    </row>
    <row r="63">
      <c r="A63" t="n">
        <v>61</v>
      </c>
      <c r="B63" s="17" t="n">
        <v>0.009281136065195841</v>
      </c>
      <c r="C63" s="18">
        <f>C62*(1-B62)</f>
        <v/>
      </c>
      <c r="D63" s="18">
        <f>C63*B63</f>
        <v/>
      </c>
      <c r="E63" s="18">
        <f>C63*(1/(1+Calculator!$B$5))^A63</f>
        <v/>
      </c>
      <c r="F63" s="18">
        <f>SUM(E63:E$112)</f>
        <v/>
      </c>
      <c r="G63" s="18">
        <f>D63*(1/(1+Calculator!$B$5))^(A63+1)</f>
        <v/>
      </c>
      <c r="H63" s="18">
        <f>SUM(G63:G$112)</f>
        <v/>
      </c>
    </row>
    <row r="64">
      <c r="A64" t="n">
        <v>62</v>
      </c>
      <c r="B64" s="17" t="n">
        <v>0.01025593081361642</v>
      </c>
      <c r="C64" s="18">
        <f>C63*(1-B63)</f>
        <v/>
      </c>
      <c r="D64" s="18">
        <f>C64*B64</f>
        <v/>
      </c>
      <c r="E64" s="18">
        <f>C64*(1/(1+Calculator!$B$5))^A64</f>
        <v/>
      </c>
      <c r="F64" s="18">
        <f>SUM(E64:E$112)</f>
        <v/>
      </c>
      <c r="G64" s="18">
        <f>D64*(1/(1+Calculator!$B$5))^(A64+1)</f>
        <v/>
      </c>
      <c r="H64" s="18">
        <f>SUM(G64:G$112)</f>
        <v/>
      </c>
    </row>
    <row r="65">
      <c r="A65" t="n">
        <v>63</v>
      </c>
      <c r="B65" s="17" t="n">
        <v>0.01120620933523287</v>
      </c>
      <c r="C65" s="18">
        <f>C64*(1-B64)</f>
        <v/>
      </c>
      <c r="D65" s="18">
        <f>C65*B65</f>
        <v/>
      </c>
      <c r="E65" s="18">
        <f>C65*(1/(1+Calculator!$B$5))^A65</f>
        <v/>
      </c>
      <c r="F65" s="18">
        <f>SUM(E65:E$112)</f>
        <v/>
      </c>
      <c r="G65" s="18">
        <f>D65*(1/(1+Calculator!$B$5))^(A65+1)</f>
        <v/>
      </c>
      <c r="H65" s="18">
        <f>SUM(G65:G$112)</f>
        <v/>
      </c>
    </row>
    <row r="66">
      <c r="A66" t="n">
        <v>64</v>
      </c>
      <c r="B66" s="17" t="n">
        <v>0.01210167156040444</v>
      </c>
      <c r="C66" s="18">
        <f>C65*(1-B65)</f>
        <v/>
      </c>
      <c r="D66" s="18">
        <f>C66*B66</f>
        <v/>
      </c>
      <c r="E66" s="18">
        <f>C66*(1/(1+Calculator!$B$5))^A66</f>
        <v/>
      </c>
      <c r="F66" s="18">
        <f>SUM(E66:E$112)</f>
        <v/>
      </c>
      <c r="G66" s="18">
        <f>D66*(1/(1+Calculator!$B$5))^(A66+1)</f>
        <v/>
      </c>
      <c r="H66" s="18">
        <f>SUM(G66:G$112)</f>
        <v/>
      </c>
    </row>
    <row r="67">
      <c r="A67" t="n">
        <v>65</v>
      </c>
      <c r="B67" s="17" t="n">
        <v>0.01312638823710133</v>
      </c>
      <c r="C67" s="18">
        <f>C66*(1-B66)</f>
        <v/>
      </c>
      <c r="D67" s="18">
        <f>C67*B67</f>
        <v/>
      </c>
      <c r="E67" s="18">
        <f>C67*(1/(1+Calculator!$B$5))^A67</f>
        <v/>
      </c>
      <c r="F67" s="18">
        <f>SUM(E67:E$112)</f>
        <v/>
      </c>
      <c r="G67" s="18">
        <f>D67*(1/(1+Calculator!$B$5))^(A67+1)</f>
        <v/>
      </c>
      <c r="H67" s="18">
        <f>SUM(G67:G$112)</f>
        <v/>
      </c>
    </row>
    <row r="68">
      <c r="A68" t="n">
        <v>66</v>
      </c>
      <c r="B68" s="17" t="n">
        <v>0.01441140809042882</v>
      </c>
      <c r="C68" s="18">
        <f>C67*(1-B67)</f>
        <v/>
      </c>
      <c r="D68" s="18">
        <f>C68*B68</f>
        <v/>
      </c>
      <c r="E68" s="18">
        <f>C68*(1/(1+Calculator!$B$5))^A68</f>
        <v/>
      </c>
      <c r="F68" s="18">
        <f>SUM(E68:E$112)</f>
        <v/>
      </c>
      <c r="G68" s="18">
        <f>D68*(1/(1+Calculator!$B$5))^(A68+1)</f>
        <v/>
      </c>
      <c r="H68" s="18">
        <f>SUM(G68:G$112)</f>
        <v/>
      </c>
    </row>
    <row r="69">
      <c r="A69" t="n">
        <v>67</v>
      </c>
      <c r="B69" s="17" t="n">
        <v>0.01580000284178578</v>
      </c>
      <c r="C69" s="18">
        <f>C68*(1-B68)</f>
        <v/>
      </c>
      <c r="D69" s="18">
        <f>C69*B69</f>
        <v/>
      </c>
      <c r="E69" s="18">
        <f>C69*(1/(1+Calculator!$B$5))^A69</f>
        <v/>
      </c>
      <c r="F69" s="18">
        <f>SUM(E69:E$112)</f>
        <v/>
      </c>
      <c r="G69" s="18">
        <f>D69*(1/(1+Calculator!$B$5))^(A69+1)</f>
        <v/>
      </c>
      <c r="H69" s="18">
        <f>SUM(G69:G$112)</f>
        <v/>
      </c>
    </row>
    <row r="70">
      <c r="A70" t="n">
        <v>68</v>
      </c>
      <c r="B70" s="17" t="n">
        <v>0.01710592813425036</v>
      </c>
      <c r="C70" s="18">
        <f>C69*(1-B69)</f>
        <v/>
      </c>
      <c r="D70" s="18">
        <f>C70*B70</f>
        <v/>
      </c>
      <c r="E70" s="18">
        <f>C70*(1/(1+Calculator!$B$5))^A70</f>
        <v/>
      </c>
      <c r="F70" s="18">
        <f>SUM(E70:E$112)</f>
        <v/>
      </c>
      <c r="G70" s="18">
        <f>D70*(1/(1+Calculator!$B$5))^(A70+1)</f>
        <v/>
      </c>
      <c r="H70" s="18">
        <f>SUM(G70:G$112)</f>
        <v/>
      </c>
    </row>
    <row r="71">
      <c r="A71" t="n">
        <v>69</v>
      </c>
      <c r="B71" s="17" t="n">
        <v>0.01846438807274521</v>
      </c>
      <c r="C71" s="18">
        <f>C70*(1-B70)</f>
        <v/>
      </c>
      <c r="D71" s="18">
        <f>C71*B71</f>
        <v/>
      </c>
      <c r="E71" s="18">
        <f>C71*(1/(1+Calculator!$B$5))^A71</f>
        <v/>
      </c>
      <c r="F71" s="18">
        <f>SUM(E71:E$112)</f>
        <v/>
      </c>
      <c r="G71" s="18">
        <f>D71*(1/(1+Calculator!$B$5))^(A71+1)</f>
        <v/>
      </c>
      <c r="H71" s="18">
        <f>SUM(G71:G$112)</f>
        <v/>
      </c>
    </row>
    <row r="72">
      <c r="A72" t="n">
        <v>70</v>
      </c>
      <c r="B72" s="17" t="n">
        <v>0.02012642739830001</v>
      </c>
      <c r="C72" s="18">
        <f>C71*(1-B71)</f>
        <v/>
      </c>
      <c r="D72" s="18">
        <f>C72*B72</f>
        <v/>
      </c>
      <c r="E72" s="18">
        <f>C72*(1/(1+Calculator!$B$5))^A72</f>
        <v/>
      </c>
      <c r="F72" s="18">
        <f>SUM(E72:E$112)</f>
        <v/>
      </c>
      <c r="G72" s="18">
        <f>D72*(1/(1+Calculator!$B$5))^(A72+1)</f>
        <v/>
      </c>
      <c r="H72" s="18">
        <f>SUM(G72:G$112)</f>
        <v/>
      </c>
    </row>
    <row r="73">
      <c r="A73" t="n">
        <v>71</v>
      </c>
      <c r="B73" s="17" t="n">
        <v>0.02211460826688656</v>
      </c>
      <c r="C73" s="18">
        <f>C72*(1-B72)</f>
        <v/>
      </c>
      <c r="D73" s="18">
        <f>C73*B73</f>
        <v/>
      </c>
      <c r="E73" s="18">
        <f>C73*(1/(1+Calculator!$B$5))^A73</f>
        <v/>
      </c>
      <c r="F73" s="18">
        <f>SUM(E73:E$112)</f>
        <v/>
      </c>
      <c r="G73" s="18">
        <f>D73*(1/(1+Calculator!$B$5))^(A73+1)</f>
        <v/>
      </c>
      <c r="H73" s="18">
        <f>SUM(G73:G$112)</f>
        <v/>
      </c>
    </row>
    <row r="74">
      <c r="A74" t="n">
        <v>72</v>
      </c>
      <c r="B74" s="17" t="n">
        <v>0.02429819863657916</v>
      </c>
      <c r="C74" s="18">
        <f>C73*(1-B73)</f>
        <v/>
      </c>
      <c r="D74" s="18">
        <f>C74*B74</f>
        <v/>
      </c>
      <c r="E74" s="18">
        <f>C74*(1/(1+Calculator!$B$5))^A74</f>
        <v/>
      </c>
      <c r="F74" s="18">
        <f>SUM(E74:E$112)</f>
        <v/>
      </c>
      <c r="G74" s="18">
        <f>D74*(1/(1+Calculator!$B$5))^(A74+1)</f>
        <v/>
      </c>
      <c r="H74" s="18">
        <f>SUM(G74:G$112)</f>
        <v/>
      </c>
    </row>
    <row r="75">
      <c r="A75" t="n">
        <v>73</v>
      </c>
      <c r="B75" s="17" t="n">
        <v>0.02655422821693865</v>
      </c>
      <c r="C75" s="18">
        <f>C74*(1-B74)</f>
        <v/>
      </c>
      <c r="D75" s="18">
        <f>C75*B75</f>
        <v/>
      </c>
      <c r="E75" s="18">
        <f>C75*(1/(1+Calculator!$B$5))^A75</f>
        <v/>
      </c>
      <c r="F75" s="18">
        <f>SUM(E75:E$112)</f>
        <v/>
      </c>
      <c r="G75" s="18">
        <f>D75*(1/(1+Calculator!$B$5))^(A75+1)</f>
        <v/>
      </c>
      <c r="H75" s="18">
        <f>SUM(G75:G$112)</f>
        <v/>
      </c>
    </row>
    <row r="76">
      <c r="A76" t="n">
        <v>74</v>
      </c>
      <c r="B76" s="17" t="n">
        <v>0.02877540762596587</v>
      </c>
      <c r="C76" s="18">
        <f>C75*(1-B75)</f>
        <v/>
      </c>
      <c r="D76" s="18">
        <f>C76*B76</f>
        <v/>
      </c>
      <c r="E76" s="18">
        <f>C76*(1/(1+Calculator!$B$5))^A76</f>
        <v/>
      </c>
      <c r="F76" s="18">
        <f>SUM(E76:E$112)</f>
        <v/>
      </c>
      <c r="G76" s="18">
        <f>D76*(1/(1+Calculator!$B$5))^(A76+1)</f>
        <v/>
      </c>
      <c r="H76" s="18">
        <f>SUM(G76:G$112)</f>
        <v/>
      </c>
    </row>
    <row r="77">
      <c r="A77" t="n">
        <v>75</v>
      </c>
      <c r="B77" s="17" t="n">
        <v>0.03099997264708497</v>
      </c>
      <c r="C77" s="18">
        <f>C76*(1-B76)</f>
        <v/>
      </c>
      <c r="D77" s="18">
        <f>C77*B77</f>
        <v/>
      </c>
      <c r="E77" s="18">
        <f>C77*(1/(1+Calculator!$B$5))^A77</f>
        <v/>
      </c>
      <c r="F77" s="18">
        <f>SUM(E77:E$112)</f>
        <v/>
      </c>
      <c r="G77" s="18">
        <f>D77*(1/(1+Calculator!$B$5))^(A77+1)</f>
        <v/>
      </c>
      <c r="H77" s="18">
        <f>SUM(G77:G$112)</f>
        <v/>
      </c>
    </row>
    <row r="78">
      <c r="A78" t="n">
        <v>76</v>
      </c>
      <c r="B78" s="17" t="n">
        <v>0.0335286394519941</v>
      </c>
      <c r="C78" s="18">
        <f>C77*(1-B77)</f>
        <v/>
      </c>
      <c r="D78" s="18">
        <f>C78*B78</f>
        <v/>
      </c>
      <c r="E78" s="18">
        <f>C78*(1/(1+Calculator!$B$5))^A78</f>
        <v/>
      </c>
      <c r="F78" s="18">
        <f>SUM(E78:E$112)</f>
        <v/>
      </c>
      <c r="G78" s="18">
        <f>D78*(1/(1+Calculator!$B$5))^(A78+1)</f>
        <v/>
      </c>
      <c r="H78" s="18">
        <f>SUM(G78:G$112)</f>
        <v/>
      </c>
    </row>
    <row r="79">
      <c r="A79" t="n">
        <v>77</v>
      </c>
      <c r="B79" s="17" t="n">
        <v>0.03660600591507435</v>
      </c>
      <c r="C79" s="18">
        <f>C78*(1-B78)</f>
        <v/>
      </c>
      <c r="D79" s="18">
        <f>C79*B79</f>
        <v/>
      </c>
      <c r="E79" s="18">
        <f>C79*(1/(1+Calculator!$B$5))^A79</f>
        <v/>
      </c>
      <c r="F79" s="18">
        <f>SUM(E79:E$112)</f>
        <v/>
      </c>
      <c r="G79" s="18">
        <f>D79*(1/(1+Calculator!$B$5))^(A79+1)</f>
        <v/>
      </c>
      <c r="H79" s="18">
        <f>SUM(G79:G$112)</f>
        <v/>
      </c>
    </row>
    <row r="80">
      <c r="A80" t="n">
        <v>78</v>
      </c>
      <c r="B80" s="17" t="n">
        <v>0.04013090723535048</v>
      </c>
      <c r="C80" s="18">
        <f>C79*(1-B79)</f>
        <v/>
      </c>
      <c r="D80" s="18">
        <f>C80*B80</f>
        <v/>
      </c>
      <c r="E80" s="18">
        <f>C80*(1/(1+Calculator!$B$5))^A80</f>
        <v/>
      </c>
      <c r="F80" s="18">
        <f>SUM(E80:E$112)</f>
        <v/>
      </c>
      <c r="G80" s="18">
        <f>D80*(1/(1+Calculator!$B$5))^(A80+1)</f>
        <v/>
      </c>
      <c r="H80" s="18">
        <f>SUM(G80:G$112)</f>
        <v/>
      </c>
    </row>
    <row r="81">
      <c r="A81" t="n">
        <v>79</v>
      </c>
      <c r="B81" s="17" t="n">
        <v>0.04399388038455469</v>
      </c>
      <c r="C81" s="18">
        <f>C80*(1-B80)</f>
        <v/>
      </c>
      <c r="D81" s="18">
        <f>C81*B81</f>
        <v/>
      </c>
      <c r="E81" s="18">
        <f>C81*(1/(1+Calculator!$B$5))^A81</f>
        <v/>
      </c>
      <c r="F81" s="18">
        <f>SUM(E81:E$112)</f>
        <v/>
      </c>
      <c r="G81" s="18">
        <f>D81*(1/(1+Calculator!$B$5))^(A81+1)</f>
        <v/>
      </c>
      <c r="H81" s="18">
        <f>SUM(G81:G$112)</f>
        <v/>
      </c>
    </row>
    <row r="82">
      <c r="A82" t="n">
        <v>80</v>
      </c>
      <c r="B82" s="17" t="n">
        <v>0.04851763445112092</v>
      </c>
      <c r="C82" s="18">
        <f>C81*(1-B81)</f>
        <v/>
      </c>
      <c r="D82" s="18">
        <f>C82*B82</f>
        <v/>
      </c>
      <c r="E82" s="18">
        <f>C82*(1/(1+Calculator!$B$5))^A82</f>
        <v/>
      </c>
      <c r="F82" s="18">
        <f>SUM(E82:E$112)</f>
        <v/>
      </c>
      <c r="G82" s="18">
        <f>D82*(1/(1+Calculator!$B$5))^(A82+1)</f>
        <v/>
      </c>
      <c r="H82" s="18">
        <f>SUM(G82:G$112)</f>
        <v/>
      </c>
    </row>
    <row r="83">
      <c r="A83" t="n">
        <v>81</v>
      </c>
      <c r="B83" s="17" t="n">
        <v>0.05417681398809566</v>
      </c>
      <c r="C83" s="18">
        <f>C82*(1-B82)</f>
        <v/>
      </c>
      <c r="D83" s="18">
        <f>C83*B83</f>
        <v/>
      </c>
      <c r="E83" s="18">
        <f>C83*(1/(1+Calculator!$B$5))^A83</f>
        <v/>
      </c>
      <c r="F83" s="18">
        <f>SUM(E83:E$112)</f>
        <v/>
      </c>
      <c r="G83" s="18">
        <f>D83*(1/(1+Calculator!$B$5))^(A83+1)</f>
        <v/>
      </c>
      <c r="H83" s="18">
        <f>SUM(G83:G$112)</f>
        <v/>
      </c>
    </row>
    <row r="84">
      <c r="A84" t="n">
        <v>82</v>
      </c>
      <c r="B84" s="17" t="n">
        <v>0.06074982523938461</v>
      </c>
      <c r="C84" s="18">
        <f>C83*(1-B83)</f>
        <v/>
      </c>
      <c r="D84" s="18">
        <f>C84*B84</f>
        <v/>
      </c>
      <c r="E84" s="18">
        <f>C84*(1/(1+Calculator!$B$5))^A84</f>
        <v/>
      </c>
      <c r="F84" s="18">
        <f>SUM(E84:E$112)</f>
        <v/>
      </c>
      <c r="G84" s="18">
        <f>D84*(1/(1+Calculator!$B$5))^(A84+1)</f>
        <v/>
      </c>
      <c r="H84" s="18">
        <f>SUM(G84:G$112)</f>
        <v/>
      </c>
    </row>
    <row r="85">
      <c r="A85" t="n">
        <v>83</v>
      </c>
      <c r="B85" s="17" t="n">
        <v>0.06747990766527066</v>
      </c>
      <c r="C85" s="18">
        <f>C84*(1-B84)</f>
        <v/>
      </c>
      <c r="D85" s="18">
        <f>C85*B85</f>
        <v/>
      </c>
      <c r="E85" s="18">
        <f>C85*(1/(1+Calculator!$B$5))^A85</f>
        <v/>
      </c>
      <c r="F85" s="18">
        <f>SUM(E85:E$112)</f>
        <v/>
      </c>
      <c r="G85" s="18">
        <f>D85*(1/(1+Calculator!$B$5))^(A85+1)</f>
        <v/>
      </c>
      <c r="H85" s="18">
        <f>SUM(G85:G$112)</f>
        <v/>
      </c>
    </row>
    <row r="86">
      <c r="A86" t="n">
        <v>84</v>
      </c>
      <c r="B86" s="17" t="n">
        <v>0.07444942056450869</v>
      </c>
      <c r="C86" s="18">
        <f>C85*(1-B85)</f>
        <v/>
      </c>
      <c r="D86" s="18">
        <f>C86*B86</f>
        <v/>
      </c>
      <c r="E86" s="18">
        <f>C86*(1/(1+Calculator!$B$5))^A86</f>
        <v/>
      </c>
      <c r="F86" s="18">
        <f>SUM(E86:E$112)</f>
        <v/>
      </c>
      <c r="G86" s="18">
        <f>D86*(1/(1+Calculator!$B$5))^(A86+1)</f>
        <v/>
      </c>
      <c r="H86" s="18">
        <f>SUM(G86:G$112)</f>
        <v/>
      </c>
    </row>
    <row r="87">
      <c r="A87" t="n">
        <v>85</v>
      </c>
      <c r="B87" s="17" t="n">
        <v>0.08300779155585628</v>
      </c>
      <c r="C87" s="18">
        <f>C86*(1-B86)</f>
        <v/>
      </c>
      <c r="D87" s="18">
        <f>C87*B87</f>
        <v/>
      </c>
      <c r="E87" s="18">
        <f>C87*(1/(1+Calculator!$B$5))^A87</f>
        <v/>
      </c>
      <c r="F87" s="18">
        <f>SUM(E87:E$112)</f>
        <v/>
      </c>
      <c r="G87" s="18">
        <f>D87*(1/(1+Calculator!$B$5))^(A87+1)</f>
        <v/>
      </c>
      <c r="H87" s="18">
        <f>SUM(G87:G$112)</f>
        <v/>
      </c>
    </row>
    <row r="88">
      <c r="A88" t="n">
        <v>86</v>
      </c>
      <c r="B88" s="17" t="n">
        <v>0.09305520046034087</v>
      </c>
      <c r="C88" s="18">
        <f>C87*(1-B87)</f>
        <v/>
      </c>
      <c r="D88" s="18">
        <f>C88*B88</f>
        <v/>
      </c>
      <c r="E88" s="18">
        <f>C88*(1/(1+Calculator!$B$5))^A88</f>
        <v/>
      </c>
      <c r="F88" s="18">
        <f>SUM(E88:E$112)</f>
        <v/>
      </c>
      <c r="G88" s="18">
        <f>D88*(1/(1+Calculator!$B$5))^(A88+1)</f>
        <v/>
      </c>
      <c r="H88" s="18">
        <f>SUM(G88:G$112)</f>
        <v/>
      </c>
    </row>
    <row r="89">
      <c r="A89" t="n">
        <v>87</v>
      </c>
      <c r="B89" s="17" t="n">
        <v>0.1036375575804865</v>
      </c>
      <c r="C89" s="18">
        <f>C88*(1-B88)</f>
        <v/>
      </c>
      <c r="D89" s="18">
        <f>C89*B89</f>
        <v/>
      </c>
      <c r="E89" s="18">
        <f>C89*(1/(1+Calculator!$B$5))^A89</f>
        <v/>
      </c>
      <c r="F89" s="18">
        <f>SUM(E89:E$112)</f>
        <v/>
      </c>
      <c r="G89" s="18">
        <f>D89*(1/(1+Calculator!$B$5))^(A89+1)</f>
        <v/>
      </c>
      <c r="H89" s="18">
        <f>SUM(G89:G$112)</f>
        <v/>
      </c>
    </row>
    <row r="90">
      <c r="A90" t="n">
        <v>88</v>
      </c>
      <c r="B90" s="17" t="n">
        <v>0.1140889515950397</v>
      </c>
      <c r="C90" s="18">
        <f>C89*(1-B89)</f>
        <v/>
      </c>
      <c r="D90" s="18">
        <f>C90*B90</f>
        <v/>
      </c>
      <c r="E90" s="18">
        <f>C90*(1/(1+Calculator!$B$5))^A90</f>
        <v/>
      </c>
      <c r="F90" s="18">
        <f>SUM(E90:E$112)</f>
        <v/>
      </c>
      <c r="G90" s="18">
        <f>D90*(1/(1+Calculator!$B$5))^(A90+1)</f>
        <v/>
      </c>
      <c r="H90" s="18">
        <f>SUM(G90:G$112)</f>
        <v/>
      </c>
    </row>
    <row r="91">
      <c r="A91" t="n">
        <v>89</v>
      </c>
      <c r="B91" s="17" t="n">
        <v>0.1244575420100369</v>
      </c>
      <c r="C91" s="18">
        <f>C90*(1-B90)</f>
        <v/>
      </c>
      <c r="D91" s="18">
        <f>C91*B91</f>
        <v/>
      </c>
      <c r="E91" s="18">
        <f>C91*(1/(1+Calculator!$B$5))^A91</f>
        <v/>
      </c>
      <c r="F91" s="18">
        <f>SUM(E91:E$112)</f>
        <v/>
      </c>
      <c r="G91" s="18">
        <f>D91*(1/(1+Calculator!$B$5))^(A91+1)</f>
        <v/>
      </c>
      <c r="H91" s="18">
        <f>SUM(G91:G$112)</f>
        <v/>
      </c>
    </row>
    <row r="92">
      <c r="A92" t="n">
        <v>90</v>
      </c>
      <c r="B92" s="17" t="n">
        <v>0.1358517626132253</v>
      </c>
      <c r="C92" s="18">
        <f>C91*(1-B91)</f>
        <v/>
      </c>
      <c r="D92" s="18">
        <f>C92*B92</f>
        <v/>
      </c>
      <c r="E92" s="18">
        <f>C92*(1/(1+Calculator!$B$5))^A92</f>
        <v/>
      </c>
      <c r="F92" s="18">
        <f>SUM(E92:E$112)</f>
        <v/>
      </c>
      <c r="G92" s="18">
        <f>D92*(1/(1+Calculator!$B$5))^(A92+1)</f>
        <v/>
      </c>
      <c r="H92" s="18">
        <f>SUM(G92:G$112)</f>
        <v/>
      </c>
    </row>
    <row r="93">
      <c r="A93" t="n">
        <v>91</v>
      </c>
      <c r="B93" s="17" t="n">
        <v>0.1486646549935644</v>
      </c>
      <c r="C93" s="18">
        <f>C92*(1-B92)</f>
        <v/>
      </c>
      <c r="D93" s="18">
        <f>C93*B93</f>
        <v/>
      </c>
      <c r="E93" s="18">
        <f>C93*(1/(1+Calculator!$B$5))^A93</f>
        <v/>
      </c>
      <c r="F93" s="18">
        <f>SUM(E93:E$112)</f>
        <v/>
      </c>
      <c r="G93" s="18">
        <f>D93*(1/(1+Calculator!$B$5))^(A93+1)</f>
        <v/>
      </c>
      <c r="H93" s="18">
        <f>SUM(G93:G$112)</f>
        <v/>
      </c>
    </row>
    <row r="94">
      <c r="A94" t="n">
        <v>92</v>
      </c>
      <c r="B94" s="17" t="n">
        <v>0.162316469440786</v>
      </c>
      <c r="C94" s="18">
        <f>C93*(1-B93)</f>
        <v/>
      </c>
      <c r="D94" s="18">
        <f>C94*B94</f>
        <v/>
      </c>
      <c r="E94" s="18">
        <f>C94*(1/(1+Calculator!$B$5))^A94</f>
        <v/>
      </c>
      <c r="F94" s="18">
        <f>SUM(E94:E$112)</f>
        <v/>
      </c>
      <c r="G94" s="18">
        <f>D94*(1/(1+Calculator!$B$5))^(A94+1)</f>
        <v/>
      </c>
      <c r="H94" s="18">
        <f>SUM(G94:G$112)</f>
        <v/>
      </c>
    </row>
    <row r="95">
      <c r="A95" t="n">
        <v>93</v>
      </c>
      <c r="B95" s="17" t="n">
        <v>0.17679405698041</v>
      </c>
      <c r="C95" s="18">
        <f>C94*(1-B94)</f>
        <v/>
      </c>
      <c r="D95" s="18">
        <f>C95*B95</f>
        <v/>
      </c>
      <c r="E95" s="18">
        <f>C95*(1/(1+Calculator!$B$5))^A95</f>
        <v/>
      </c>
      <c r="F95" s="18">
        <f>SUM(E95:E$112)</f>
        <v/>
      </c>
      <c r="G95" s="18">
        <f>D95*(1/(1+Calculator!$B$5))^(A95+1)</f>
        <v/>
      </c>
      <c r="H95" s="18">
        <f>SUM(G95:G$112)</f>
        <v/>
      </c>
    </row>
    <row r="96">
      <c r="A96" t="n">
        <v>94</v>
      </c>
      <c r="B96" s="17" t="n">
        <v>0.192071184920813</v>
      </c>
      <c r="C96" s="18">
        <f>C95*(1-B95)</f>
        <v/>
      </c>
      <c r="D96" s="18">
        <f>C96*B96</f>
        <v/>
      </c>
      <c r="E96" s="18">
        <f>C96*(1/(1+Calculator!$B$5))^A96</f>
        <v/>
      </c>
      <c r="F96" s="18">
        <f>SUM(E96:E$112)</f>
        <v/>
      </c>
      <c r="G96" s="18">
        <f>D96*(1/(1+Calculator!$B$5))^(A96+1)</f>
        <v/>
      </c>
      <c r="H96" s="18">
        <f>SUM(G96:G$112)</f>
        <v/>
      </c>
    </row>
    <row r="97">
      <c r="A97" t="n">
        <v>95</v>
      </c>
      <c r="B97" s="17" t="n">
        <v>0.2081076237638974</v>
      </c>
      <c r="C97" s="18">
        <f>C96*(1-B96)</f>
        <v/>
      </c>
      <c r="D97" s="18">
        <f>C97*B97</f>
        <v/>
      </c>
      <c r="E97" s="18">
        <f>C97*(1/(1+Calculator!$B$5))^A97</f>
        <v/>
      </c>
      <c r="F97" s="18">
        <f>SUM(E97:E$112)</f>
        <v/>
      </c>
      <c r="G97" s="18">
        <f>D97*(1/(1+Calculator!$B$5))^(A97+1)</f>
        <v/>
      </c>
      <c r="H97" s="18">
        <f>SUM(G97:G$112)</f>
        <v/>
      </c>
    </row>
    <row r="98">
      <c r="A98" t="n">
        <v>96</v>
      </c>
      <c r="B98" s="17" t="n">
        <v>0.224848642184607</v>
      </c>
      <c r="C98" s="18">
        <f>C97*(1-B97)</f>
        <v/>
      </c>
      <c r="D98" s="18">
        <f>C98*B98</f>
        <v/>
      </c>
      <c r="E98" s="18">
        <f>C98*(1/(1+Calculator!$B$5))^A98</f>
        <v/>
      </c>
      <c r="F98" s="18">
        <f>SUM(E98:E$112)</f>
        <v/>
      </c>
      <c r="G98" s="18">
        <f>D98*(1/(1+Calculator!$B$5))^(A98+1)</f>
        <v/>
      </c>
      <c r="H98" s="18">
        <f>SUM(G98:G$112)</f>
        <v/>
      </c>
    </row>
    <row r="99">
      <c r="A99" t="n">
        <v>97</v>
      </c>
      <c r="B99" s="17" t="n">
        <v>0.2422249993838286</v>
      </c>
      <c r="C99" s="18">
        <f>C98*(1-B98)</f>
        <v/>
      </c>
      <c r="D99" s="18">
        <f>C99*B99</f>
        <v/>
      </c>
      <c r="E99" s="18">
        <f>C99*(1/(1+Calculator!$B$5))^A99</f>
        <v/>
      </c>
      <c r="F99" s="18">
        <f>SUM(E99:E$112)</f>
        <v/>
      </c>
      <c r="G99" s="18">
        <f>D99*(1/(1+Calculator!$B$5))^(A99+1)</f>
        <v/>
      </c>
      <c r="H99" s="18">
        <f>SUM(G99:G$112)</f>
        <v/>
      </c>
    </row>
    <row r="100">
      <c r="A100" t="n">
        <v>98</v>
      </c>
      <c r="B100" s="17" t="n">
        <v>0.2601535025354545</v>
      </c>
      <c r="C100" s="18">
        <f>C99*(1-B99)</f>
        <v/>
      </c>
      <c r="D100" s="18">
        <f>C100*B100</f>
        <v/>
      </c>
      <c r="E100" s="18">
        <f>C100*(1/(1+Calculator!$B$5))^A100</f>
        <v/>
      </c>
      <c r="F100" s="18">
        <f>SUM(E100:E$112)</f>
        <v/>
      </c>
      <c r="G100" s="18">
        <f>D100*(1/(1+Calculator!$B$5))^(A100+1)</f>
        <v/>
      </c>
      <c r="H100" s="18">
        <f>SUM(G100:G$112)</f>
        <v/>
      </c>
    </row>
    <row r="101">
      <c r="A101" t="n">
        <v>99</v>
      </c>
      <c r="B101" s="17" t="n">
        <v>0.278538165271712</v>
      </c>
      <c r="C101" s="18">
        <f>C100*(1-B100)</f>
        <v/>
      </c>
      <c r="D101" s="18">
        <f>C101*B101</f>
        <v/>
      </c>
      <c r="E101" s="18">
        <f>C101*(1/(1+Calculator!$B$5))^A101</f>
        <v/>
      </c>
      <c r="F101" s="18">
        <f>SUM(E101:E$112)</f>
        <v/>
      </c>
      <c r="G101" s="18">
        <f>D101*(1/(1+Calculator!$B$5))^(A101+1)</f>
        <v/>
      </c>
      <c r="H101" s="18">
        <f>SUM(G101:G$112)</f>
        <v/>
      </c>
    </row>
    <row r="102">
      <c r="A102" t="n">
        <v>100</v>
      </c>
      <c r="B102" s="17" t="n">
        <v>0.2972719631055362</v>
      </c>
      <c r="C102" s="18">
        <f>C101*(1-B101)</f>
        <v/>
      </c>
      <c r="D102" s="18">
        <f>C102*B102</f>
        <v/>
      </c>
      <c r="E102" s="18">
        <f>C102*(1/(1+Calculator!$B$5))^A102</f>
        <v/>
      </c>
      <c r="F102" s="18">
        <f>SUM(E102:E$112)</f>
        <v/>
      </c>
      <c r="G102" s="18">
        <f>D102*(1/(1+Calculator!$B$5))^(A102+1)</f>
        <v/>
      </c>
      <c r="H102" s="18">
        <f>SUM(G102:G$112)</f>
        <v/>
      </c>
    </row>
    <row r="103">
      <c r="A103" t="n">
        <v>101</v>
      </c>
      <c r="B103" s="17" t="n">
        <v>0.3162391368669364</v>
      </c>
      <c r="C103" s="18">
        <f>C102*(1-B102)</f>
        <v/>
      </c>
      <c r="D103" s="18">
        <f>C103*B103</f>
        <v/>
      </c>
      <c r="E103" s="18">
        <f>C103*(1/(1+Calculator!$B$5))^A103</f>
        <v/>
      </c>
      <c r="F103" s="18">
        <f>SUM(E103:E$112)</f>
        <v/>
      </c>
      <c r="G103" s="18">
        <f>D103*(1/(1+Calculator!$B$5))^(A103+1)</f>
        <v/>
      </c>
      <c r="H103" s="18">
        <f>SUM(G103:G$112)</f>
        <v/>
      </c>
    </row>
    <row r="104">
      <c r="A104" t="n">
        <v>102</v>
      </c>
      <c r="B104" s="17" t="n">
        <v>0.3353179503742009</v>
      </c>
      <c r="C104" s="18">
        <f>C103*(1-B103)</f>
        <v/>
      </c>
      <c r="D104" s="18">
        <f>C104*B104</f>
        <v/>
      </c>
      <c r="E104" s="18">
        <f>C104*(1/(1+Calculator!$B$5))^A104</f>
        <v/>
      </c>
      <c r="F104" s="18">
        <f>SUM(E104:E$112)</f>
        <v/>
      </c>
      <c r="G104" s="18">
        <f>D104*(1/(1+Calculator!$B$5))^(A104+1)</f>
        <v/>
      </c>
      <c r="H104" s="18">
        <f>SUM(G104:G$112)</f>
        <v/>
      </c>
    </row>
    <row r="105">
      <c r="A105" t="n">
        <v>103</v>
      </c>
      <c r="B105" s="17" t="n">
        <v>0.3543837690264864</v>
      </c>
      <c r="C105" s="18">
        <f>C104*(1-B104)</f>
        <v/>
      </c>
      <c r="D105" s="18">
        <f>C105*B105</f>
        <v/>
      </c>
      <c r="E105" s="18">
        <f>C105*(1/(1+Calculator!$B$5))^A105</f>
        <v/>
      </c>
      <c r="F105" s="18">
        <f>SUM(E105:E$112)</f>
        <v/>
      </c>
      <c r="G105" s="18">
        <f>D105*(1/(1+Calculator!$B$5))^(A105+1)</f>
        <v/>
      </c>
      <c r="H105" s="18">
        <f>SUM(G105:G$112)</f>
        <v/>
      </c>
    </row>
    <row r="106">
      <c r="A106" t="n">
        <v>104</v>
      </c>
      <c r="B106" s="17" t="n">
        <v>0.3733122969032032</v>
      </c>
      <c r="C106" s="18">
        <f>C105*(1-B105)</f>
        <v/>
      </c>
      <c r="D106" s="18">
        <f>C106*B106</f>
        <v/>
      </c>
      <c r="E106" s="18">
        <f>C106*(1/(1+Calculator!$B$5))^A106</f>
        <v/>
      </c>
      <c r="F106" s="18">
        <f>SUM(E106:E$112)</f>
        <v/>
      </c>
      <c r="G106" s="18">
        <f>D106*(1/(1+Calculator!$B$5))^(A106+1)</f>
        <v/>
      </c>
      <c r="H106" s="18">
        <f>SUM(G106:G$112)</f>
        <v/>
      </c>
    </row>
    <row r="107">
      <c r="A107" t="n">
        <v>105</v>
      </c>
      <c r="B107" s="17" t="n">
        <v>0.3919827952458146</v>
      </c>
      <c r="C107" s="18">
        <f>C106*(1-B106)</f>
        <v/>
      </c>
      <c r="D107" s="18">
        <f>C107*B107</f>
        <v/>
      </c>
      <c r="E107" s="18">
        <f>C107*(1/(1+Calculator!$B$5))^A107</f>
        <v/>
      </c>
      <c r="F107" s="18">
        <f>SUM(E107:E$112)</f>
        <v/>
      </c>
      <c r="G107" s="18">
        <f>D107*(1/(1+Calculator!$B$5))^(A107+1)</f>
        <v/>
      </c>
      <c r="H107" s="18">
        <f>SUM(G107:G$112)</f>
        <v/>
      </c>
    </row>
    <row r="108">
      <c r="A108" t="n">
        <v>106</v>
      </c>
      <c r="B108" s="17" t="n">
        <v>0.4102811069366341</v>
      </c>
      <c r="C108" s="18">
        <f>C107*(1-B107)</f>
        <v/>
      </c>
      <c r="D108" s="18">
        <f>C108*B108</f>
        <v/>
      </c>
      <c r="E108" s="18">
        <f>C108*(1/(1+Calculator!$B$5))^A108</f>
        <v/>
      </c>
      <c r="F108" s="18">
        <f>SUM(E108:E$112)</f>
        <v/>
      </c>
      <c r="G108" s="18">
        <f>D108*(1/(1+Calculator!$B$5))^(A108+1)</f>
        <v/>
      </c>
      <c r="H108" s="18">
        <f>SUM(G108:G$112)</f>
        <v/>
      </c>
    </row>
    <row r="109">
      <c r="A109" t="n">
        <v>107</v>
      </c>
      <c r="B109" s="17" t="n">
        <v>0.4281023295318095</v>
      </c>
      <c r="C109" s="18">
        <f>C108*(1-B108)</f>
        <v/>
      </c>
      <c r="D109" s="18">
        <f>C109*B109</f>
        <v/>
      </c>
      <c r="E109" s="18">
        <f>C109*(1/(1+Calculator!$B$5))^A109</f>
        <v/>
      </c>
      <c r="F109" s="18">
        <f>SUM(E109:E$112)</f>
        <v/>
      </c>
      <c r="G109" s="18">
        <f>D109*(1/(1+Calculator!$B$5))^(A109+1)</f>
        <v/>
      </c>
      <c r="H109" s="18">
        <f>SUM(G109:G$112)</f>
        <v/>
      </c>
    </row>
    <row r="110">
      <c r="A110" t="n">
        <v>108</v>
      </c>
      <c r="B110" s="17" t="n">
        <v>0.4453530110526219</v>
      </c>
      <c r="C110" s="18">
        <f>C109*(1-B109)</f>
        <v/>
      </c>
      <c r="D110" s="18">
        <f>C110*B110</f>
        <v/>
      </c>
      <c r="E110" s="18">
        <f>C110*(1/(1+Calculator!$B$5))^A110</f>
        <v/>
      </c>
      <c r="F110" s="18">
        <f>SUM(E110:E$112)</f>
        <v/>
      </c>
      <c r="G110" s="18">
        <f>D110*(1/(1+Calculator!$B$5))^(A110+1)</f>
        <v/>
      </c>
      <c r="H110" s="18">
        <f>SUM(G110:G$112)</f>
        <v/>
      </c>
    </row>
    <row r="111">
      <c r="A111" t="n">
        <v>109</v>
      </c>
      <c r="B111" s="17" t="n">
        <v>0.461952783822569</v>
      </c>
      <c r="C111" s="18">
        <f>C110*(1-B110)</f>
        <v/>
      </c>
      <c r="D111" s="18">
        <f>C111*B111</f>
        <v/>
      </c>
      <c r="E111" s="18">
        <f>C111*(1/(1+Calculator!$B$5))^A111</f>
        <v/>
      </c>
      <c r="F111" s="18">
        <f>SUM(E111:E$112)</f>
        <v/>
      </c>
      <c r="G111" s="18">
        <f>D111*(1/(1+Calculator!$B$5))^(A111+1)</f>
        <v/>
      </c>
      <c r="H111" s="18">
        <f>SUM(G111:G$112)</f>
        <v/>
      </c>
    </row>
    <row r="112">
      <c r="A112" t="n">
        <v>110</v>
      </c>
      <c r="B112" s="17" t="n">
        <v>1</v>
      </c>
      <c r="C112" s="18">
        <f>C111*(1-B111)</f>
        <v/>
      </c>
      <c r="D112" s="18">
        <f>C112*B112</f>
        <v/>
      </c>
      <c r="E112" s="18">
        <f>C112*(1/(1+Calculator!$B$5))^A112</f>
        <v/>
      </c>
      <c r="F112" s="18">
        <f>SUM(E112:E$112)</f>
        <v/>
      </c>
      <c r="G112" s="18">
        <f>D112*(1/(1+Calculator!$B$5))^(A112+1)</f>
        <v/>
      </c>
      <c r="H112" s="18">
        <f>SUM(G112:G$112)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10" max="10"/>
  </cols>
  <sheetData>
    <row r="1">
      <c r="A1" s="15" t="inlineStr">
        <is>
          <t>Age x</t>
        </is>
      </c>
      <c r="B1" s="15" t="inlineStr">
        <is>
          <t>qx</t>
        </is>
      </c>
      <c r="C1" s="15" t="inlineStr">
        <is>
          <t>lx</t>
        </is>
      </c>
      <c r="D1" s="15" t="inlineStr">
        <is>
          <t>dx</t>
        </is>
      </c>
      <c r="E1" s="15" t="inlineStr">
        <is>
          <t>Dx</t>
        </is>
      </c>
      <c r="F1" s="15" t="inlineStr">
        <is>
          <t>Nx</t>
        </is>
      </c>
      <c r="G1" s="15" t="inlineStr">
        <is>
          <t>Cx</t>
        </is>
      </c>
      <c r="H1" s="15" t="inlineStr">
        <is>
          <t>Mx</t>
        </is>
      </c>
      <c r="J1" s="16" t="inlineStr">
        <is>
          <t>CNSF 2013 (regulatory)</t>
        </is>
      </c>
    </row>
    <row r="2">
      <c r="A2" t="n">
        <v>0</v>
      </c>
      <c r="B2" s="17" t="n">
        <v>0.000433</v>
      </c>
      <c r="C2" s="18" t="n">
        <v>100000</v>
      </c>
      <c r="D2" s="18">
        <f>C2*B2</f>
        <v/>
      </c>
      <c r="E2" s="18">
        <f>C2*(1/(1+Calculator!$B$5))^A2</f>
        <v/>
      </c>
      <c r="F2" s="18">
        <f>SUM(E2:E$112)</f>
        <v/>
      </c>
      <c r="G2" s="18">
        <f>D2*(1/(1+Calculator!$B$5))^(A2+1)</f>
        <v/>
      </c>
      <c r="H2" s="18">
        <f>SUM(G2:G$112)</f>
        <v/>
      </c>
      <c r="J2" t="inlineStr">
        <is>
          <t>Edit the interest rate on the Calculator sheet.</t>
        </is>
      </c>
    </row>
    <row r="3">
      <c r="A3" t="n">
        <v>1</v>
      </c>
      <c r="B3" s="17" t="n">
        <v>0.000433</v>
      </c>
      <c r="C3" s="18">
        <f>C2*(1-B2)</f>
        <v/>
      </c>
      <c r="D3" s="18">
        <f>C3*B3</f>
        <v/>
      </c>
      <c r="E3" s="18">
        <f>C3*(1/(1+Calculator!$B$5))^A3</f>
        <v/>
      </c>
      <c r="F3" s="18">
        <f>SUM(E3:E$112)</f>
        <v/>
      </c>
      <c r="G3" s="18">
        <f>D3*(1/(1+Calculator!$B$5))^(A3+1)</f>
        <v/>
      </c>
      <c r="H3" s="18">
        <f>SUM(G3:G$112)</f>
        <v/>
      </c>
    </row>
    <row r="4">
      <c r="A4" t="n">
        <v>2</v>
      </c>
      <c r="B4" s="17" t="n">
        <v>0.000434</v>
      </c>
      <c r="C4" s="18">
        <f>C3*(1-B3)</f>
        <v/>
      </c>
      <c r="D4" s="18">
        <f>C4*B4</f>
        <v/>
      </c>
      <c r="E4" s="18">
        <f>C4*(1/(1+Calculator!$B$5))^A4</f>
        <v/>
      </c>
      <c r="F4" s="18">
        <f>SUM(E4:E$112)</f>
        <v/>
      </c>
      <c r="G4" s="18">
        <f>D4*(1/(1+Calculator!$B$5))^(A4+1)</f>
        <v/>
      </c>
      <c r="H4" s="18">
        <f>SUM(G4:G$112)</f>
        <v/>
      </c>
    </row>
    <row r="5">
      <c r="A5" t="n">
        <v>3</v>
      </c>
      <c r="B5" s="17" t="n">
        <v>0.000434</v>
      </c>
      <c r="C5" s="18">
        <f>C4*(1-B4)</f>
        <v/>
      </c>
      <c r="D5" s="18">
        <f>C5*B5</f>
        <v/>
      </c>
      <c r="E5" s="18">
        <f>C5*(1/(1+Calculator!$B$5))^A5</f>
        <v/>
      </c>
      <c r="F5" s="18">
        <f>SUM(E5:E$112)</f>
        <v/>
      </c>
      <c r="G5" s="18">
        <f>D5*(1/(1+Calculator!$B$5))^(A5+1)</f>
        <v/>
      </c>
      <c r="H5" s="18">
        <f>SUM(G5:G$112)</f>
        <v/>
      </c>
    </row>
    <row r="6">
      <c r="A6" t="n">
        <v>4</v>
      </c>
      <c r="B6" s="17" t="n">
        <v>0.000435</v>
      </c>
      <c r="C6" s="18">
        <f>C5*(1-B5)</f>
        <v/>
      </c>
      <c r="D6" s="18">
        <f>C6*B6</f>
        <v/>
      </c>
      <c r="E6" s="18">
        <f>C6*(1/(1+Calculator!$B$5))^A6</f>
        <v/>
      </c>
      <c r="F6" s="18">
        <f>SUM(E6:E$112)</f>
        <v/>
      </c>
      <c r="G6" s="18">
        <f>D6*(1/(1+Calculator!$B$5))^(A6+1)</f>
        <v/>
      </c>
      <c r="H6" s="18">
        <f>SUM(G6:G$112)</f>
        <v/>
      </c>
    </row>
    <row r="7">
      <c r="A7" t="n">
        <v>5</v>
      </c>
      <c r="B7" s="17" t="n">
        <v>0.000436</v>
      </c>
      <c r="C7" s="18">
        <f>C6*(1-B6)</f>
        <v/>
      </c>
      <c r="D7" s="18">
        <f>C7*B7</f>
        <v/>
      </c>
      <c r="E7" s="18">
        <f>C7*(1/(1+Calculator!$B$5))^A7</f>
        <v/>
      </c>
      <c r="F7" s="18">
        <f>SUM(E7:E$112)</f>
        <v/>
      </c>
      <c r="G7" s="18">
        <f>D7*(1/(1+Calculator!$B$5))^(A7+1)</f>
        <v/>
      </c>
      <c r="H7" s="18">
        <f>SUM(G7:G$112)</f>
        <v/>
      </c>
    </row>
    <row r="8">
      <c r="A8" t="n">
        <v>6</v>
      </c>
      <c r="B8" s="17" t="n">
        <v>0.000438</v>
      </c>
      <c r="C8" s="18">
        <f>C7*(1-B7)</f>
        <v/>
      </c>
      <c r="D8" s="18">
        <f>C8*B8</f>
        <v/>
      </c>
      <c r="E8" s="18">
        <f>C8*(1/(1+Calculator!$B$5))^A8</f>
        <v/>
      </c>
      <c r="F8" s="18">
        <f>SUM(E8:E$112)</f>
        <v/>
      </c>
      <c r="G8" s="18">
        <f>D8*(1/(1+Calculator!$B$5))^(A8+1)</f>
        <v/>
      </c>
      <c r="H8" s="18">
        <f>SUM(G8:G$112)</f>
        <v/>
      </c>
    </row>
    <row r="9">
      <c r="A9" t="n">
        <v>7</v>
      </c>
      <c r="B9" s="17" t="n">
        <v>0.00044</v>
      </c>
      <c r="C9" s="18">
        <f>C8*(1-B8)</f>
        <v/>
      </c>
      <c r="D9" s="18">
        <f>C9*B9</f>
        <v/>
      </c>
      <c r="E9" s="18">
        <f>C9*(1/(1+Calculator!$B$5))^A9</f>
        <v/>
      </c>
      <c r="F9" s="18">
        <f>SUM(E9:E$112)</f>
        <v/>
      </c>
      <c r="G9" s="18">
        <f>D9*(1/(1+Calculator!$B$5))^(A9+1)</f>
        <v/>
      </c>
      <c r="H9" s="18">
        <f>SUM(G9:G$112)</f>
        <v/>
      </c>
    </row>
    <row r="10">
      <c r="A10" t="n">
        <v>8</v>
      </c>
      <c r="B10" s="17" t="n">
        <v>0.000443</v>
      </c>
      <c r="C10" s="18">
        <f>C9*(1-B9)</f>
        <v/>
      </c>
      <c r="D10" s="18">
        <f>C10*B10</f>
        <v/>
      </c>
      <c r="E10" s="18">
        <f>C10*(1/(1+Calculator!$B$5))^A10</f>
        <v/>
      </c>
      <c r="F10" s="18">
        <f>SUM(E10:E$112)</f>
        <v/>
      </c>
      <c r="G10" s="18">
        <f>D10*(1/(1+Calculator!$B$5))^(A10+1)</f>
        <v/>
      </c>
      <c r="H10" s="18">
        <f>SUM(G10:G$112)</f>
        <v/>
      </c>
    </row>
    <row r="11">
      <c r="A11" t="n">
        <v>9</v>
      </c>
      <c r="B11" s="17" t="n">
        <v>0.000446</v>
      </c>
      <c r="C11" s="18">
        <f>C10*(1-B10)</f>
        <v/>
      </c>
      <c r="D11" s="18">
        <f>C11*B11</f>
        <v/>
      </c>
      <c r="E11" s="18">
        <f>C11*(1/(1+Calculator!$B$5))^A11</f>
        <v/>
      </c>
      <c r="F11" s="18">
        <f>SUM(E11:E$112)</f>
        <v/>
      </c>
      <c r="G11" s="18">
        <f>D11*(1/(1+Calculator!$B$5))^(A11+1)</f>
        <v/>
      </c>
      <c r="H11" s="18">
        <f>SUM(G11:G$112)</f>
        <v/>
      </c>
    </row>
    <row r="12">
      <c r="A12" t="n">
        <v>10</v>
      </c>
      <c r="B12" s="17" t="n">
        <v>0.000449</v>
      </c>
      <c r="C12" s="18">
        <f>C11*(1-B11)</f>
        <v/>
      </c>
      <c r="D12" s="18">
        <f>C12*B12</f>
        <v/>
      </c>
      <c r="E12" s="18">
        <f>C12*(1/(1+Calculator!$B$5))^A12</f>
        <v/>
      </c>
      <c r="F12" s="18">
        <f>SUM(E12:E$112)</f>
        <v/>
      </c>
      <c r="G12" s="18">
        <f>D12*(1/(1+Calculator!$B$5))^(A12+1)</f>
        <v/>
      </c>
      <c r="H12" s="18">
        <f>SUM(G12:G$112)</f>
        <v/>
      </c>
    </row>
    <row r="13">
      <c r="A13" t="n">
        <v>11</v>
      </c>
      <c r="B13" s="17" t="n">
        <v>0.000453</v>
      </c>
      <c r="C13" s="18">
        <f>C12*(1-B12)</f>
        <v/>
      </c>
      <c r="D13" s="18">
        <f>C13*B13</f>
        <v/>
      </c>
      <c r="E13" s="18">
        <f>C13*(1/(1+Calculator!$B$5))^A13</f>
        <v/>
      </c>
      <c r="F13" s="18">
        <f>SUM(E13:E$112)</f>
        <v/>
      </c>
      <c r="G13" s="18">
        <f>D13*(1/(1+Calculator!$B$5))^(A13+1)</f>
        <v/>
      </c>
      <c r="H13" s="18">
        <f>SUM(G13:G$112)</f>
        <v/>
      </c>
    </row>
    <row r="14">
      <c r="A14" t="n">
        <v>12</v>
      </c>
      <c r="B14" s="17" t="n">
        <v>0.000457</v>
      </c>
      <c r="C14" s="18">
        <f>C13*(1-B13)</f>
        <v/>
      </c>
      <c r="D14" s="18">
        <f>C14*B14</f>
        <v/>
      </c>
      <c r="E14" s="18">
        <f>C14*(1/(1+Calculator!$B$5))^A14</f>
        <v/>
      </c>
      <c r="F14" s="18">
        <f>SUM(E14:E$112)</f>
        <v/>
      </c>
      <c r="G14" s="18">
        <f>D14*(1/(1+Calculator!$B$5))^(A14+1)</f>
        <v/>
      </c>
      <c r="H14" s="18">
        <f>SUM(G14:G$112)</f>
        <v/>
      </c>
    </row>
    <row r="15">
      <c r="A15" t="n">
        <v>13</v>
      </c>
      <c r="B15" s="17" t="n">
        <v>0.000463</v>
      </c>
      <c r="C15" s="18">
        <f>C14*(1-B14)</f>
        <v/>
      </c>
      <c r="D15" s="18">
        <f>C15*B15</f>
        <v/>
      </c>
      <c r="E15" s="18">
        <f>C15*(1/(1+Calculator!$B$5))^A15</f>
        <v/>
      </c>
      <c r="F15" s="18">
        <f>SUM(E15:E$112)</f>
        <v/>
      </c>
      <c r="G15" s="18">
        <f>D15*(1/(1+Calculator!$B$5))^(A15+1)</f>
        <v/>
      </c>
      <c r="H15" s="18">
        <f>SUM(G15:G$112)</f>
        <v/>
      </c>
    </row>
    <row r="16">
      <c r="A16" t="n">
        <v>14</v>
      </c>
      <c r="B16" s="17" t="n">
        <v>0.000468</v>
      </c>
      <c r="C16" s="18">
        <f>C15*(1-B15)</f>
        <v/>
      </c>
      <c r="D16" s="18">
        <f>C16*B16</f>
        <v/>
      </c>
      <c r="E16" s="18">
        <f>C16*(1/(1+Calculator!$B$5))^A16</f>
        <v/>
      </c>
      <c r="F16" s="18">
        <f>SUM(E16:E$112)</f>
        <v/>
      </c>
      <c r="G16" s="18">
        <f>D16*(1/(1+Calculator!$B$5))^(A16+1)</f>
        <v/>
      </c>
      <c r="H16" s="18">
        <f>SUM(G16:G$112)</f>
        <v/>
      </c>
    </row>
    <row r="17">
      <c r="A17" t="n">
        <v>15</v>
      </c>
      <c r="B17" s="17" t="n">
        <v>0.000475</v>
      </c>
      <c r="C17" s="18">
        <f>C16*(1-B16)</f>
        <v/>
      </c>
      <c r="D17" s="18">
        <f>C17*B17</f>
        <v/>
      </c>
      <c r="E17" s="18">
        <f>C17*(1/(1+Calculator!$B$5))^A17</f>
        <v/>
      </c>
      <c r="F17" s="18">
        <f>SUM(E17:E$112)</f>
        <v/>
      </c>
      <c r="G17" s="18">
        <f>D17*(1/(1+Calculator!$B$5))^(A17+1)</f>
        <v/>
      </c>
      <c r="H17" s="18">
        <f>SUM(G17:G$112)</f>
        <v/>
      </c>
    </row>
    <row r="18">
      <c r="A18" t="n">
        <v>16</v>
      </c>
      <c r="B18" s="17" t="n">
        <v>0.000482</v>
      </c>
      <c r="C18" s="18">
        <f>C17*(1-B17)</f>
        <v/>
      </c>
      <c r="D18" s="18">
        <f>C18*B18</f>
        <v/>
      </c>
      <c r="E18" s="18">
        <f>C18*(1/(1+Calculator!$B$5))^A18</f>
        <v/>
      </c>
      <c r="F18" s="18">
        <f>SUM(E18:E$112)</f>
        <v/>
      </c>
      <c r="G18" s="18">
        <f>D18*(1/(1+Calculator!$B$5))^(A18+1)</f>
        <v/>
      </c>
      <c r="H18" s="18">
        <f>SUM(G18:G$112)</f>
        <v/>
      </c>
    </row>
    <row r="19">
      <c r="A19" t="n">
        <v>17</v>
      </c>
      <c r="B19" s="17" t="n">
        <v>0.000489</v>
      </c>
      <c r="C19" s="18">
        <f>C18*(1-B18)</f>
        <v/>
      </c>
      <c r="D19" s="18">
        <f>C19*B19</f>
        <v/>
      </c>
      <c r="E19" s="18">
        <f>C19*(1/(1+Calculator!$B$5))^A19</f>
        <v/>
      </c>
      <c r="F19" s="18">
        <f>SUM(E19:E$112)</f>
        <v/>
      </c>
      <c r="G19" s="18">
        <f>D19*(1/(1+Calculator!$B$5))^(A19+1)</f>
        <v/>
      </c>
      <c r="H19" s="18">
        <f>SUM(G19:G$112)</f>
        <v/>
      </c>
    </row>
    <row r="20">
      <c r="A20" t="n">
        <v>18</v>
      </c>
      <c r="B20" s="17" t="n">
        <v>0.000498</v>
      </c>
      <c r="C20" s="18">
        <f>C19*(1-B19)</f>
        <v/>
      </c>
      <c r="D20" s="18">
        <f>C20*B20</f>
        <v/>
      </c>
      <c r="E20" s="18">
        <f>C20*(1/(1+Calculator!$B$5))^A20</f>
        <v/>
      </c>
      <c r="F20" s="18">
        <f>SUM(E20:E$112)</f>
        <v/>
      </c>
      <c r="G20" s="18">
        <f>D20*(1/(1+Calculator!$B$5))^(A20+1)</f>
        <v/>
      </c>
      <c r="H20" s="18">
        <f>SUM(G20:G$112)</f>
        <v/>
      </c>
    </row>
    <row r="21">
      <c r="A21" t="n">
        <v>19</v>
      </c>
      <c r="B21" s="17" t="n">
        <v>0.000507</v>
      </c>
      <c r="C21" s="18">
        <f>C20*(1-B20)</f>
        <v/>
      </c>
      <c r="D21" s="18">
        <f>C21*B21</f>
        <v/>
      </c>
      <c r="E21" s="18">
        <f>C21*(1/(1+Calculator!$B$5))^A21</f>
        <v/>
      </c>
      <c r="F21" s="18">
        <f>SUM(E21:E$112)</f>
        <v/>
      </c>
      <c r="G21" s="18">
        <f>D21*(1/(1+Calculator!$B$5))^(A21+1)</f>
        <v/>
      </c>
      <c r="H21" s="18">
        <f>SUM(G21:G$112)</f>
        <v/>
      </c>
    </row>
    <row r="22">
      <c r="A22" t="n">
        <v>20</v>
      </c>
      <c r="B22" s="17" t="n">
        <v>0.000517</v>
      </c>
      <c r="C22" s="18">
        <f>C21*(1-B21)</f>
        <v/>
      </c>
      <c r="D22" s="18">
        <f>C22*B22</f>
        <v/>
      </c>
      <c r="E22" s="18">
        <f>C22*(1/(1+Calculator!$B$5))^A22</f>
        <v/>
      </c>
      <c r="F22" s="18">
        <f>SUM(E22:E$112)</f>
        <v/>
      </c>
      <c r="G22" s="18">
        <f>D22*(1/(1+Calculator!$B$5))^(A22+1)</f>
        <v/>
      </c>
      <c r="H22" s="18">
        <f>SUM(G22:G$112)</f>
        <v/>
      </c>
    </row>
    <row r="23">
      <c r="A23" t="n">
        <v>21</v>
      </c>
      <c r="B23" s="17" t="n">
        <v>0.000528</v>
      </c>
      <c r="C23" s="18">
        <f>C22*(1-B22)</f>
        <v/>
      </c>
      <c r="D23" s="18">
        <f>C23*B23</f>
        <v/>
      </c>
      <c r="E23" s="18">
        <f>C23*(1/(1+Calculator!$B$5))^A23</f>
        <v/>
      </c>
      <c r="F23" s="18">
        <f>SUM(E23:E$112)</f>
        <v/>
      </c>
      <c r="G23" s="18">
        <f>D23*(1/(1+Calculator!$B$5))^(A23+1)</f>
        <v/>
      </c>
      <c r="H23" s="18">
        <f>SUM(G23:G$112)</f>
        <v/>
      </c>
    </row>
    <row r="24">
      <c r="A24" t="n">
        <v>22</v>
      </c>
      <c r="B24" s="17" t="n">
        <v>0.00054</v>
      </c>
      <c r="C24" s="18">
        <f>C23*(1-B23)</f>
        <v/>
      </c>
      <c r="D24" s="18">
        <f>C24*B24</f>
        <v/>
      </c>
      <c r="E24" s="18">
        <f>C24*(1/(1+Calculator!$B$5))^A24</f>
        <v/>
      </c>
      <c r="F24" s="18">
        <f>SUM(E24:E$112)</f>
        <v/>
      </c>
      <c r="G24" s="18">
        <f>D24*(1/(1+Calculator!$B$5))^(A24+1)</f>
        <v/>
      </c>
      <c r="H24" s="18">
        <f>SUM(G24:G$112)</f>
        <v/>
      </c>
    </row>
    <row r="25">
      <c r="A25" t="n">
        <v>23</v>
      </c>
      <c r="B25" s="17" t="n">
        <v>0.000553</v>
      </c>
      <c r="C25" s="18">
        <f>C24*(1-B24)</f>
        <v/>
      </c>
      <c r="D25" s="18">
        <f>C25*B25</f>
        <v/>
      </c>
      <c r="E25" s="18">
        <f>C25*(1/(1+Calculator!$B$5))^A25</f>
        <v/>
      </c>
      <c r="F25" s="18">
        <f>SUM(E25:E$112)</f>
        <v/>
      </c>
      <c r="G25" s="18">
        <f>D25*(1/(1+Calculator!$B$5))^(A25+1)</f>
        <v/>
      </c>
      <c r="H25" s="18">
        <f>SUM(G25:G$112)</f>
        <v/>
      </c>
    </row>
    <row r="26">
      <c r="A26" t="n">
        <v>24</v>
      </c>
      <c r="B26" s="17" t="n">
        <v>0.000567</v>
      </c>
      <c r="C26" s="18">
        <f>C25*(1-B25)</f>
        <v/>
      </c>
      <c r="D26" s="18">
        <f>C26*B26</f>
        <v/>
      </c>
      <c r="E26" s="18">
        <f>C26*(1/(1+Calculator!$B$5))^A26</f>
        <v/>
      </c>
      <c r="F26" s="18">
        <f>SUM(E26:E$112)</f>
        <v/>
      </c>
      <c r="G26" s="18">
        <f>D26*(1/(1+Calculator!$B$5))^(A26+1)</f>
        <v/>
      </c>
      <c r="H26" s="18">
        <f>SUM(G26:G$112)</f>
        <v/>
      </c>
    </row>
    <row r="27">
      <c r="A27" t="n">
        <v>25</v>
      </c>
      <c r="B27" s="17" t="n">
        <v>0.0005820000000000001</v>
      </c>
      <c r="C27" s="18">
        <f>C26*(1-B26)</f>
        <v/>
      </c>
      <c r="D27" s="18">
        <f>C27*B27</f>
        <v/>
      </c>
      <c r="E27" s="18">
        <f>C27*(1/(1+Calculator!$B$5))^A27</f>
        <v/>
      </c>
      <c r="F27" s="18">
        <f>SUM(E27:E$112)</f>
        <v/>
      </c>
      <c r="G27" s="18">
        <f>D27*(1/(1+Calculator!$B$5))^(A27+1)</f>
        <v/>
      </c>
      <c r="H27" s="18">
        <f>SUM(G27:G$112)</f>
        <v/>
      </c>
    </row>
    <row r="28">
      <c r="A28" t="n">
        <v>26</v>
      </c>
      <c r="B28" s="17" t="n">
        <v>0.000598</v>
      </c>
      <c r="C28" s="18">
        <f>C27*(1-B27)</f>
        <v/>
      </c>
      <c r="D28" s="18">
        <f>C28*B28</f>
        <v/>
      </c>
      <c r="E28" s="18">
        <f>C28*(1/(1+Calculator!$B$5))^A28</f>
        <v/>
      </c>
      <c r="F28" s="18">
        <f>SUM(E28:E$112)</f>
        <v/>
      </c>
      <c r="G28" s="18">
        <f>D28*(1/(1+Calculator!$B$5))^(A28+1)</f>
        <v/>
      </c>
      <c r="H28" s="18">
        <f>SUM(G28:G$112)</f>
        <v/>
      </c>
    </row>
    <row r="29">
      <c r="A29" t="n">
        <v>27</v>
      </c>
      <c r="B29" s="17" t="n">
        <v>0.000616</v>
      </c>
      <c r="C29" s="18">
        <f>C28*(1-B28)</f>
        <v/>
      </c>
      <c r="D29" s="18">
        <f>C29*B29</f>
        <v/>
      </c>
      <c r="E29" s="18">
        <f>C29*(1/(1+Calculator!$B$5))^A29</f>
        <v/>
      </c>
      <c r="F29" s="18">
        <f>SUM(E29:E$112)</f>
        <v/>
      </c>
      <c r="G29" s="18">
        <f>D29*(1/(1+Calculator!$B$5))^(A29+1)</f>
        <v/>
      </c>
      <c r="H29" s="18">
        <f>SUM(G29:G$112)</f>
        <v/>
      </c>
    </row>
    <row r="30">
      <c r="A30" t="n">
        <v>28</v>
      </c>
      <c r="B30" s="17" t="n">
        <v>0.000635</v>
      </c>
      <c r="C30" s="18">
        <f>C29*(1-B29)</f>
        <v/>
      </c>
      <c r="D30" s="18">
        <f>C30*B30</f>
        <v/>
      </c>
      <c r="E30" s="18">
        <f>C30*(1/(1+Calculator!$B$5))^A30</f>
        <v/>
      </c>
      <c r="F30" s="18">
        <f>SUM(E30:E$112)</f>
        <v/>
      </c>
      <c r="G30" s="18">
        <f>D30*(1/(1+Calculator!$B$5))^(A30+1)</f>
        <v/>
      </c>
      <c r="H30" s="18">
        <f>SUM(G30:G$112)</f>
        <v/>
      </c>
    </row>
    <row r="31">
      <c r="A31" t="n">
        <v>29</v>
      </c>
      <c r="B31" s="17" t="n">
        <v>0.000656</v>
      </c>
      <c r="C31" s="18">
        <f>C30*(1-B30)</f>
        <v/>
      </c>
      <c r="D31" s="18">
        <f>C31*B31</f>
        <v/>
      </c>
      <c r="E31" s="18">
        <f>C31*(1/(1+Calculator!$B$5))^A31</f>
        <v/>
      </c>
      <c r="F31" s="18">
        <f>SUM(E31:E$112)</f>
        <v/>
      </c>
      <c r="G31" s="18">
        <f>D31*(1/(1+Calculator!$B$5))^(A31+1)</f>
        <v/>
      </c>
      <c r="H31" s="18">
        <f>SUM(G31:G$112)</f>
        <v/>
      </c>
    </row>
    <row r="32">
      <c r="A32" t="n">
        <v>30</v>
      </c>
      <c r="B32" s="17" t="n">
        <v>0.000678</v>
      </c>
      <c r="C32" s="18">
        <f>C31*(1-B31)</f>
        <v/>
      </c>
      <c r="D32" s="18">
        <f>C32*B32</f>
        <v/>
      </c>
      <c r="E32" s="18">
        <f>C32*(1/(1+Calculator!$B$5))^A32</f>
        <v/>
      </c>
      <c r="F32" s="18">
        <f>SUM(E32:E$112)</f>
        <v/>
      </c>
      <c r="G32" s="18">
        <f>D32*(1/(1+Calculator!$B$5))^(A32+1)</f>
        <v/>
      </c>
      <c r="H32" s="18">
        <f>SUM(G32:G$112)</f>
        <v/>
      </c>
    </row>
    <row r="33">
      <c r="A33" t="n">
        <v>31</v>
      </c>
      <c r="B33" s="17" t="n">
        <v>0.000703</v>
      </c>
      <c r="C33" s="18">
        <f>C32*(1-B32)</f>
        <v/>
      </c>
      <c r="D33" s="18">
        <f>C33*B33</f>
        <v/>
      </c>
      <c r="E33" s="18">
        <f>C33*(1/(1+Calculator!$B$5))^A33</f>
        <v/>
      </c>
      <c r="F33" s="18">
        <f>SUM(E33:E$112)</f>
        <v/>
      </c>
      <c r="G33" s="18">
        <f>D33*(1/(1+Calculator!$B$5))^(A33+1)</f>
        <v/>
      </c>
      <c r="H33" s="18">
        <f>SUM(G33:G$112)</f>
        <v/>
      </c>
    </row>
    <row r="34">
      <c r="A34" t="n">
        <v>32</v>
      </c>
      <c r="B34" s="17" t="n">
        <v>0.000729</v>
      </c>
      <c r="C34" s="18">
        <f>C33*(1-B33)</f>
        <v/>
      </c>
      <c r="D34" s="18">
        <f>C34*B34</f>
        <v/>
      </c>
      <c r="E34" s="18">
        <f>C34*(1/(1+Calculator!$B$5))^A34</f>
        <v/>
      </c>
      <c r="F34" s="18">
        <f>SUM(E34:E$112)</f>
        <v/>
      </c>
      <c r="G34" s="18">
        <f>D34*(1/(1+Calculator!$B$5))^(A34+1)</f>
        <v/>
      </c>
      <c r="H34" s="18">
        <f>SUM(G34:G$112)</f>
        <v/>
      </c>
    </row>
    <row r="35">
      <c r="A35" t="n">
        <v>33</v>
      </c>
      <c r="B35" s="17" t="n">
        <v>0.000757</v>
      </c>
      <c r="C35" s="18">
        <f>C34*(1-B34)</f>
        <v/>
      </c>
      <c r="D35" s="18">
        <f>C35*B35</f>
        <v/>
      </c>
      <c r="E35" s="18">
        <f>C35*(1/(1+Calculator!$B$5))^A35</f>
        <v/>
      </c>
      <c r="F35" s="18">
        <f>SUM(E35:E$112)</f>
        <v/>
      </c>
      <c r="G35" s="18">
        <f>D35*(1/(1+Calculator!$B$5))^(A35+1)</f>
        <v/>
      </c>
      <c r="H35" s="18">
        <f>SUM(G35:G$112)</f>
        <v/>
      </c>
    </row>
    <row r="36">
      <c r="A36" t="n">
        <v>34</v>
      </c>
      <c r="B36" s="17" t="n">
        <v>0.000788</v>
      </c>
      <c r="C36" s="18">
        <f>C35*(1-B35)</f>
        <v/>
      </c>
      <c r="D36" s="18">
        <f>C36*B36</f>
        <v/>
      </c>
      <c r="E36" s="18">
        <f>C36*(1/(1+Calculator!$B$5))^A36</f>
        <v/>
      </c>
      <c r="F36" s="18">
        <f>SUM(E36:E$112)</f>
        <v/>
      </c>
      <c r="G36" s="18">
        <f>D36*(1/(1+Calculator!$B$5))^(A36+1)</f>
        <v/>
      </c>
      <c r="H36" s="18">
        <f>SUM(G36:G$112)</f>
        <v/>
      </c>
    </row>
    <row r="37">
      <c r="A37" t="n">
        <v>35</v>
      </c>
      <c r="B37" s="17" t="n">
        <v>0.000821</v>
      </c>
      <c r="C37" s="18">
        <f>C36*(1-B36)</f>
        <v/>
      </c>
      <c r="D37" s="18">
        <f>C37*B37</f>
        <v/>
      </c>
      <c r="E37" s="18">
        <f>C37*(1/(1+Calculator!$B$5))^A37</f>
        <v/>
      </c>
      <c r="F37" s="18">
        <f>SUM(E37:E$112)</f>
        <v/>
      </c>
      <c r="G37" s="18">
        <f>D37*(1/(1+Calculator!$B$5))^(A37+1)</f>
        <v/>
      </c>
      <c r="H37" s="18">
        <f>SUM(G37:G$112)</f>
        <v/>
      </c>
    </row>
    <row r="38">
      <c r="A38" t="n">
        <v>36</v>
      </c>
      <c r="B38" s="17" t="n">
        <v>0.000857</v>
      </c>
      <c r="C38" s="18">
        <f>C37*(1-B37)</f>
        <v/>
      </c>
      <c r="D38" s="18">
        <f>C38*B38</f>
        <v/>
      </c>
      <c r="E38" s="18">
        <f>C38*(1/(1+Calculator!$B$5))^A38</f>
        <v/>
      </c>
      <c r="F38" s="18">
        <f>SUM(E38:E$112)</f>
        <v/>
      </c>
      <c r="G38" s="18">
        <f>D38*(1/(1+Calculator!$B$5))^(A38+1)</f>
        <v/>
      </c>
      <c r="H38" s="18">
        <f>SUM(G38:G$112)</f>
        <v/>
      </c>
    </row>
    <row r="39">
      <c r="A39" t="n">
        <v>37</v>
      </c>
      <c r="B39" s="17" t="n">
        <v>0.000896</v>
      </c>
      <c r="C39" s="18">
        <f>C38*(1-B38)</f>
        <v/>
      </c>
      <c r="D39" s="18">
        <f>C39*B39</f>
        <v/>
      </c>
      <c r="E39" s="18">
        <f>C39*(1/(1+Calculator!$B$5))^A39</f>
        <v/>
      </c>
      <c r="F39" s="18">
        <f>SUM(E39:E$112)</f>
        <v/>
      </c>
      <c r="G39" s="18">
        <f>D39*(1/(1+Calculator!$B$5))^(A39+1)</f>
        <v/>
      </c>
      <c r="H39" s="18">
        <f>SUM(G39:G$112)</f>
        <v/>
      </c>
    </row>
    <row r="40">
      <c r="A40" t="n">
        <v>38</v>
      </c>
      <c r="B40" s="17" t="n">
        <v>0.000938</v>
      </c>
      <c r="C40" s="18">
        <f>C39*(1-B39)</f>
        <v/>
      </c>
      <c r="D40" s="18">
        <f>C40*B40</f>
        <v/>
      </c>
      <c r="E40" s="18">
        <f>C40*(1/(1+Calculator!$B$5))^A40</f>
        <v/>
      </c>
      <c r="F40" s="18">
        <f>SUM(E40:E$112)</f>
        <v/>
      </c>
      <c r="G40" s="18">
        <f>D40*(1/(1+Calculator!$B$5))^(A40+1)</f>
        <v/>
      </c>
      <c r="H40" s="18">
        <f>SUM(G40:G$112)</f>
        <v/>
      </c>
    </row>
    <row r="41">
      <c r="A41" t="n">
        <v>39</v>
      </c>
      <c r="B41" s="17" t="n">
        <v>0.0009829999999999999</v>
      </c>
      <c r="C41" s="18">
        <f>C40*(1-B40)</f>
        <v/>
      </c>
      <c r="D41" s="18">
        <f>C41*B41</f>
        <v/>
      </c>
      <c r="E41" s="18">
        <f>C41*(1/(1+Calculator!$B$5))^A41</f>
        <v/>
      </c>
      <c r="F41" s="18">
        <f>SUM(E41:E$112)</f>
        <v/>
      </c>
      <c r="G41" s="18">
        <f>D41*(1/(1+Calculator!$B$5))^(A41+1)</f>
        <v/>
      </c>
      <c r="H41" s="18">
        <f>SUM(G41:G$112)</f>
        <v/>
      </c>
    </row>
    <row r="42">
      <c r="A42" t="n">
        <v>40</v>
      </c>
      <c r="B42" s="17" t="n">
        <v>0.001033</v>
      </c>
      <c r="C42" s="18">
        <f>C41*(1-B41)</f>
        <v/>
      </c>
      <c r="D42" s="18">
        <f>C42*B42</f>
        <v/>
      </c>
      <c r="E42" s="18">
        <f>C42*(1/(1+Calculator!$B$5))^A42</f>
        <v/>
      </c>
      <c r="F42" s="18">
        <f>SUM(E42:E$112)</f>
        <v/>
      </c>
      <c r="G42" s="18">
        <f>D42*(1/(1+Calculator!$B$5))^(A42+1)</f>
        <v/>
      </c>
      <c r="H42" s="18">
        <f>SUM(G42:G$112)</f>
        <v/>
      </c>
    </row>
    <row r="43">
      <c r="A43" t="n">
        <v>41</v>
      </c>
      <c r="B43" s="17" t="n">
        <v>0.001087</v>
      </c>
      <c r="C43" s="18">
        <f>C42*(1-B42)</f>
        <v/>
      </c>
      <c r="D43" s="18">
        <f>C43*B43</f>
        <v/>
      </c>
      <c r="E43" s="18">
        <f>C43*(1/(1+Calculator!$B$5))^A43</f>
        <v/>
      </c>
      <c r="F43" s="18">
        <f>SUM(E43:E$112)</f>
        <v/>
      </c>
      <c r="G43" s="18">
        <f>D43*(1/(1+Calculator!$B$5))^(A43+1)</f>
        <v/>
      </c>
      <c r="H43" s="18">
        <f>SUM(G43:G$112)</f>
        <v/>
      </c>
    </row>
    <row r="44">
      <c r="A44" t="n">
        <v>42</v>
      </c>
      <c r="B44" s="17" t="n">
        <v>0.001145</v>
      </c>
      <c r="C44" s="18">
        <f>C43*(1-B43)</f>
        <v/>
      </c>
      <c r="D44" s="18">
        <f>C44*B44</f>
        <v/>
      </c>
      <c r="E44" s="18">
        <f>C44*(1/(1+Calculator!$B$5))^A44</f>
        <v/>
      </c>
      <c r="F44" s="18">
        <f>SUM(E44:E$112)</f>
        <v/>
      </c>
      <c r="G44" s="18">
        <f>D44*(1/(1+Calculator!$B$5))^(A44+1)</f>
        <v/>
      </c>
      <c r="H44" s="18">
        <f>SUM(G44:G$112)</f>
        <v/>
      </c>
    </row>
    <row r="45">
      <c r="A45" t="n">
        <v>43</v>
      </c>
      <c r="B45" s="17" t="n">
        <v>0.001208</v>
      </c>
      <c r="C45" s="18">
        <f>C44*(1-B44)</f>
        <v/>
      </c>
      <c r="D45" s="18">
        <f>C45*B45</f>
        <v/>
      </c>
      <c r="E45" s="18">
        <f>C45*(1/(1+Calculator!$B$5))^A45</f>
        <v/>
      </c>
      <c r="F45" s="18">
        <f>SUM(E45:E$112)</f>
        <v/>
      </c>
      <c r="G45" s="18">
        <f>D45*(1/(1+Calculator!$B$5))^(A45+1)</f>
        <v/>
      </c>
      <c r="H45" s="18">
        <f>SUM(G45:G$112)</f>
        <v/>
      </c>
    </row>
    <row r="46">
      <c r="A46" t="n">
        <v>44</v>
      </c>
      <c r="B46" s="17" t="n">
        <v>0.001278</v>
      </c>
      <c r="C46" s="18">
        <f>C45*(1-B45)</f>
        <v/>
      </c>
      <c r="D46" s="18">
        <f>C46*B46</f>
        <v/>
      </c>
      <c r="E46" s="18">
        <f>C46*(1/(1+Calculator!$B$5))^A46</f>
        <v/>
      </c>
      <c r="F46" s="18">
        <f>SUM(E46:E$112)</f>
        <v/>
      </c>
      <c r="G46" s="18">
        <f>D46*(1/(1+Calculator!$B$5))^(A46+1)</f>
        <v/>
      </c>
      <c r="H46" s="18">
        <f>SUM(G46:G$112)</f>
        <v/>
      </c>
    </row>
    <row r="47">
      <c r="A47" t="n">
        <v>45</v>
      </c>
      <c r="B47" s="17" t="n">
        <v>0.001353</v>
      </c>
      <c r="C47" s="18">
        <f>C46*(1-B46)</f>
        <v/>
      </c>
      <c r="D47" s="18">
        <f>C47*B47</f>
        <v/>
      </c>
      <c r="E47" s="18">
        <f>C47*(1/(1+Calculator!$B$5))^A47</f>
        <v/>
      </c>
      <c r="F47" s="18">
        <f>SUM(E47:E$112)</f>
        <v/>
      </c>
      <c r="G47" s="18">
        <f>D47*(1/(1+Calculator!$B$5))^(A47+1)</f>
        <v/>
      </c>
      <c r="H47" s="18">
        <f>SUM(G47:G$112)</f>
        <v/>
      </c>
    </row>
    <row r="48">
      <c r="A48" t="n">
        <v>46</v>
      </c>
      <c r="B48" s="17" t="n">
        <v>0.001435</v>
      </c>
      <c r="C48" s="18">
        <f>C47*(1-B47)</f>
        <v/>
      </c>
      <c r="D48" s="18">
        <f>C48*B48</f>
        <v/>
      </c>
      <c r="E48" s="18">
        <f>C48*(1/(1+Calculator!$B$5))^A48</f>
        <v/>
      </c>
      <c r="F48" s="18">
        <f>SUM(E48:E$112)</f>
        <v/>
      </c>
      <c r="G48" s="18">
        <f>D48*(1/(1+Calculator!$B$5))^(A48+1)</f>
        <v/>
      </c>
      <c r="H48" s="18">
        <f>SUM(G48:G$112)</f>
        <v/>
      </c>
    </row>
    <row r="49">
      <c r="A49" t="n">
        <v>47</v>
      </c>
      <c r="B49" s="17" t="n">
        <v>0.001525</v>
      </c>
      <c r="C49" s="18">
        <f>C48*(1-B48)</f>
        <v/>
      </c>
      <c r="D49" s="18">
        <f>C49*B49</f>
        <v/>
      </c>
      <c r="E49" s="18">
        <f>C49*(1/(1+Calculator!$B$5))^A49</f>
        <v/>
      </c>
      <c r="F49" s="18">
        <f>SUM(E49:E$112)</f>
        <v/>
      </c>
      <c r="G49" s="18">
        <f>D49*(1/(1+Calculator!$B$5))^(A49+1)</f>
        <v/>
      </c>
      <c r="H49" s="18">
        <f>SUM(G49:G$112)</f>
        <v/>
      </c>
    </row>
    <row r="50">
      <c r="A50" t="n">
        <v>48</v>
      </c>
      <c r="B50" s="17" t="n">
        <v>0.001623</v>
      </c>
      <c r="C50" s="18">
        <f>C49*(1-B49)</f>
        <v/>
      </c>
      <c r="D50" s="18">
        <f>C50*B50</f>
        <v/>
      </c>
      <c r="E50" s="18">
        <f>C50*(1/(1+Calculator!$B$5))^A50</f>
        <v/>
      </c>
      <c r="F50" s="18">
        <f>SUM(E50:E$112)</f>
        <v/>
      </c>
      <c r="G50" s="18">
        <f>D50*(1/(1+Calculator!$B$5))^(A50+1)</f>
        <v/>
      </c>
      <c r="H50" s="18">
        <f>SUM(G50:G$112)</f>
        <v/>
      </c>
    </row>
    <row r="51">
      <c r="A51" t="n">
        <v>49</v>
      </c>
      <c r="B51" s="17" t="n">
        <v>0.00173</v>
      </c>
      <c r="C51" s="18">
        <f>C50*(1-B50)</f>
        <v/>
      </c>
      <c r="D51" s="18">
        <f>C51*B51</f>
        <v/>
      </c>
      <c r="E51" s="18">
        <f>C51*(1/(1+Calculator!$B$5))^A51</f>
        <v/>
      </c>
      <c r="F51" s="18">
        <f>SUM(E51:E$112)</f>
        <v/>
      </c>
      <c r="G51" s="18">
        <f>D51*(1/(1+Calculator!$B$5))^(A51+1)</f>
        <v/>
      </c>
      <c r="H51" s="18">
        <f>SUM(G51:G$112)</f>
        <v/>
      </c>
    </row>
    <row r="52">
      <c r="A52" t="n">
        <v>50</v>
      </c>
      <c r="B52" s="17" t="n">
        <v>0.001848</v>
      </c>
      <c r="C52" s="18">
        <f>C51*(1-B51)</f>
        <v/>
      </c>
      <c r="D52" s="18">
        <f>C52*B52</f>
        <v/>
      </c>
      <c r="E52" s="18">
        <f>C52*(1/(1+Calculator!$B$5))^A52</f>
        <v/>
      </c>
      <c r="F52" s="18">
        <f>SUM(E52:E$112)</f>
        <v/>
      </c>
      <c r="G52" s="18">
        <f>D52*(1/(1+Calculator!$B$5))^(A52+1)</f>
        <v/>
      </c>
      <c r="H52" s="18">
        <f>SUM(G52:G$112)</f>
        <v/>
      </c>
    </row>
    <row r="53">
      <c r="A53" t="n">
        <v>51</v>
      </c>
      <c r="B53" s="17" t="n">
        <v>0.001977</v>
      </c>
      <c r="C53" s="18">
        <f>C52*(1-B52)</f>
        <v/>
      </c>
      <c r="D53" s="18">
        <f>C53*B53</f>
        <v/>
      </c>
      <c r="E53" s="18">
        <f>C53*(1/(1+Calculator!$B$5))^A53</f>
        <v/>
      </c>
      <c r="F53" s="18">
        <f>SUM(E53:E$112)</f>
        <v/>
      </c>
      <c r="G53" s="18">
        <f>D53*(1/(1+Calculator!$B$5))^(A53+1)</f>
        <v/>
      </c>
      <c r="H53" s="18">
        <f>SUM(G53:G$112)</f>
        <v/>
      </c>
    </row>
    <row r="54">
      <c r="A54" t="n">
        <v>52</v>
      </c>
      <c r="B54" s="17" t="n">
        <v>0.002119</v>
      </c>
      <c r="C54" s="18">
        <f>C53*(1-B53)</f>
        <v/>
      </c>
      <c r="D54" s="18">
        <f>C54*B54</f>
        <v/>
      </c>
      <c r="E54" s="18">
        <f>C54*(1/(1+Calculator!$B$5))^A54</f>
        <v/>
      </c>
      <c r="F54" s="18">
        <f>SUM(E54:E$112)</f>
        <v/>
      </c>
      <c r="G54" s="18">
        <f>D54*(1/(1+Calculator!$B$5))^(A54+1)</f>
        <v/>
      </c>
      <c r="H54" s="18">
        <f>SUM(G54:G$112)</f>
        <v/>
      </c>
    </row>
    <row r="55">
      <c r="A55" t="n">
        <v>53</v>
      </c>
      <c r="B55" s="17" t="n">
        <v>0.002274</v>
      </c>
      <c r="C55" s="18">
        <f>C54*(1-B54)</f>
        <v/>
      </c>
      <c r="D55" s="18">
        <f>C55*B55</f>
        <v/>
      </c>
      <c r="E55" s="18">
        <f>C55*(1/(1+Calculator!$B$5))^A55</f>
        <v/>
      </c>
      <c r="F55" s="18">
        <f>SUM(E55:E$112)</f>
        <v/>
      </c>
      <c r="G55" s="18">
        <f>D55*(1/(1+Calculator!$B$5))^(A55+1)</f>
        <v/>
      </c>
      <c r="H55" s="18">
        <f>SUM(G55:G$112)</f>
        <v/>
      </c>
    </row>
    <row r="56">
      <c r="A56" t="n">
        <v>54</v>
      </c>
      <c r="B56" s="17" t="n">
        <v>0.002446</v>
      </c>
      <c r="C56" s="18">
        <f>C55*(1-B55)</f>
        <v/>
      </c>
      <c r="D56" s="18">
        <f>C56*B56</f>
        <v/>
      </c>
      <c r="E56" s="18">
        <f>C56*(1/(1+Calculator!$B$5))^A56</f>
        <v/>
      </c>
      <c r="F56" s="18">
        <f>SUM(E56:E$112)</f>
        <v/>
      </c>
      <c r="G56" s="18">
        <f>D56*(1/(1+Calculator!$B$5))^(A56+1)</f>
        <v/>
      </c>
      <c r="H56" s="18">
        <f>SUM(G56:G$112)</f>
        <v/>
      </c>
    </row>
    <row r="57">
      <c r="A57" t="n">
        <v>55</v>
      </c>
      <c r="B57" s="17" t="n">
        <v>0.002635</v>
      </c>
      <c r="C57" s="18">
        <f>C56*(1-B56)</f>
        <v/>
      </c>
      <c r="D57" s="18">
        <f>C57*B57</f>
        <v/>
      </c>
      <c r="E57" s="18">
        <f>C57*(1/(1+Calculator!$B$5))^A57</f>
        <v/>
      </c>
      <c r="F57" s="18">
        <f>SUM(E57:E$112)</f>
        <v/>
      </c>
      <c r="G57" s="18">
        <f>D57*(1/(1+Calculator!$B$5))^(A57+1)</f>
        <v/>
      </c>
      <c r="H57" s="18">
        <f>SUM(G57:G$112)</f>
        <v/>
      </c>
    </row>
    <row r="58">
      <c r="A58" t="n">
        <v>56</v>
      </c>
      <c r="B58" s="17" t="n">
        <v>0.002844</v>
      </c>
      <c r="C58" s="18">
        <f>C57*(1-B57)</f>
        <v/>
      </c>
      <c r="D58" s="18">
        <f>C58*B58</f>
        <v/>
      </c>
      <c r="E58" s="18">
        <f>C58*(1/(1+Calculator!$B$5))^A58</f>
        <v/>
      </c>
      <c r="F58" s="18">
        <f>SUM(E58:E$112)</f>
        <v/>
      </c>
      <c r="G58" s="18">
        <f>D58*(1/(1+Calculator!$B$5))^(A58+1)</f>
        <v/>
      </c>
      <c r="H58" s="18">
        <f>SUM(G58:G$112)</f>
        <v/>
      </c>
    </row>
    <row r="59">
      <c r="A59" t="n">
        <v>57</v>
      </c>
      <c r="B59" s="17" t="n">
        <v>0.003074</v>
      </c>
      <c r="C59" s="18">
        <f>C58*(1-B58)</f>
        <v/>
      </c>
      <c r="D59" s="18">
        <f>C59*B59</f>
        <v/>
      </c>
      <c r="E59" s="18">
        <f>C59*(1/(1+Calculator!$B$5))^A59</f>
        <v/>
      </c>
      <c r="F59" s="18">
        <f>SUM(E59:E$112)</f>
        <v/>
      </c>
      <c r="G59" s="18">
        <f>D59*(1/(1+Calculator!$B$5))^(A59+1)</f>
        <v/>
      </c>
      <c r="H59" s="18">
        <f>SUM(G59:G$112)</f>
        <v/>
      </c>
    </row>
    <row r="60">
      <c r="A60" t="n">
        <v>58</v>
      </c>
      <c r="B60" s="17" t="n">
        <v>0.003329</v>
      </c>
      <c r="C60" s="18">
        <f>C59*(1-B59)</f>
        <v/>
      </c>
      <c r="D60" s="18">
        <f>C60*B60</f>
        <v/>
      </c>
      <c r="E60" s="18">
        <f>C60*(1/(1+Calculator!$B$5))^A60</f>
        <v/>
      </c>
      <c r="F60" s="18">
        <f>SUM(E60:E$112)</f>
        <v/>
      </c>
      <c r="G60" s="18">
        <f>D60*(1/(1+Calculator!$B$5))^(A60+1)</f>
        <v/>
      </c>
      <c r="H60" s="18">
        <f>SUM(G60:G$112)</f>
        <v/>
      </c>
    </row>
    <row r="61">
      <c r="A61" t="n">
        <v>59</v>
      </c>
      <c r="B61" s="17" t="n">
        <v>0.003612</v>
      </c>
      <c r="C61" s="18">
        <f>C60*(1-B60)</f>
        <v/>
      </c>
      <c r="D61" s="18">
        <f>C61*B61</f>
        <v/>
      </c>
      <c r="E61" s="18">
        <f>C61*(1/(1+Calculator!$B$5))^A61</f>
        <v/>
      </c>
      <c r="F61" s="18">
        <f>SUM(E61:E$112)</f>
        <v/>
      </c>
      <c r="G61" s="18">
        <f>D61*(1/(1+Calculator!$B$5))^(A61+1)</f>
        <v/>
      </c>
      <c r="H61" s="18">
        <f>SUM(G61:G$112)</f>
        <v/>
      </c>
    </row>
    <row r="62">
      <c r="A62" t="n">
        <v>60</v>
      </c>
      <c r="B62" s="17" t="n">
        <v>0.003926</v>
      </c>
      <c r="C62" s="18">
        <f>C61*(1-B61)</f>
        <v/>
      </c>
      <c r="D62" s="18">
        <f>C62*B62</f>
        <v/>
      </c>
      <c r="E62" s="18">
        <f>C62*(1/(1+Calculator!$B$5))^A62</f>
        <v/>
      </c>
      <c r="F62" s="18">
        <f>SUM(E62:E$112)</f>
        <v/>
      </c>
      <c r="G62" s="18">
        <f>D62*(1/(1+Calculator!$B$5))^(A62+1)</f>
        <v/>
      </c>
      <c r="H62" s="18">
        <f>SUM(G62:G$112)</f>
        <v/>
      </c>
    </row>
    <row r="63">
      <c r="A63" t="n">
        <v>61</v>
      </c>
      <c r="B63" s="17" t="n">
        <v>0.004275</v>
      </c>
      <c r="C63" s="18">
        <f>C62*(1-B62)</f>
        <v/>
      </c>
      <c r="D63" s="18">
        <f>C63*B63</f>
        <v/>
      </c>
      <c r="E63" s="18">
        <f>C63*(1/(1+Calculator!$B$5))^A63</f>
        <v/>
      </c>
      <c r="F63" s="18">
        <f>SUM(E63:E$112)</f>
        <v/>
      </c>
      <c r="G63" s="18">
        <f>D63*(1/(1+Calculator!$B$5))^(A63+1)</f>
        <v/>
      </c>
      <c r="H63" s="18">
        <f>SUM(G63:G$112)</f>
        <v/>
      </c>
    </row>
    <row r="64">
      <c r="A64" t="n">
        <v>62</v>
      </c>
      <c r="B64" s="17" t="n">
        <v>0.004664</v>
      </c>
      <c r="C64" s="18">
        <f>C63*(1-B63)</f>
        <v/>
      </c>
      <c r="D64" s="18">
        <f>C64*B64</f>
        <v/>
      </c>
      <c r="E64" s="18">
        <f>C64*(1/(1+Calculator!$B$5))^A64</f>
        <v/>
      </c>
      <c r="F64" s="18">
        <f>SUM(E64:E$112)</f>
        <v/>
      </c>
      <c r="G64" s="18">
        <f>D64*(1/(1+Calculator!$B$5))^(A64+1)</f>
        <v/>
      </c>
      <c r="H64" s="18">
        <f>SUM(G64:G$112)</f>
        <v/>
      </c>
    </row>
    <row r="65">
      <c r="A65" t="n">
        <v>63</v>
      </c>
      <c r="B65" s="17" t="n">
        <v>0.005096</v>
      </c>
      <c r="C65" s="18">
        <f>C64*(1-B64)</f>
        <v/>
      </c>
      <c r="D65" s="18">
        <f>C65*B65</f>
        <v/>
      </c>
      <c r="E65" s="18">
        <f>C65*(1/(1+Calculator!$B$5))^A65</f>
        <v/>
      </c>
      <c r="F65" s="18">
        <f>SUM(E65:E$112)</f>
        <v/>
      </c>
      <c r="G65" s="18">
        <f>D65*(1/(1+Calculator!$B$5))^(A65+1)</f>
        <v/>
      </c>
      <c r="H65" s="18">
        <f>SUM(G65:G$112)</f>
        <v/>
      </c>
    </row>
    <row r="66">
      <c r="A66" t="n">
        <v>64</v>
      </c>
      <c r="B66" s="17" t="n">
        <v>0.005579</v>
      </c>
      <c r="C66" s="18">
        <f>C65*(1-B65)</f>
        <v/>
      </c>
      <c r="D66" s="18">
        <f>C66*B66</f>
        <v/>
      </c>
      <c r="E66" s="18">
        <f>C66*(1/(1+Calculator!$B$5))^A66</f>
        <v/>
      </c>
      <c r="F66" s="18">
        <f>SUM(E66:E$112)</f>
        <v/>
      </c>
      <c r="G66" s="18">
        <f>D66*(1/(1+Calculator!$B$5))^(A66+1)</f>
        <v/>
      </c>
      <c r="H66" s="18">
        <f>SUM(G66:G$112)</f>
        <v/>
      </c>
    </row>
    <row r="67">
      <c r="A67" t="n">
        <v>65</v>
      </c>
      <c r="B67" s="17" t="n">
        <v>0.006119</v>
      </c>
      <c r="C67" s="18">
        <f>C66*(1-B66)</f>
        <v/>
      </c>
      <c r="D67" s="18">
        <f>C67*B67</f>
        <v/>
      </c>
      <c r="E67" s="18">
        <f>C67*(1/(1+Calculator!$B$5))^A67</f>
        <v/>
      </c>
      <c r="F67" s="18">
        <f>SUM(E67:E$112)</f>
        <v/>
      </c>
      <c r="G67" s="18">
        <f>D67*(1/(1+Calculator!$B$5))^(A67+1)</f>
        <v/>
      </c>
      <c r="H67" s="18">
        <f>SUM(G67:G$112)</f>
        <v/>
      </c>
    </row>
    <row r="68">
      <c r="A68" t="n">
        <v>66</v>
      </c>
      <c r="B68" s="17" t="n">
        <v>0.006723</v>
      </c>
      <c r="C68" s="18">
        <f>C67*(1-B67)</f>
        <v/>
      </c>
      <c r="D68" s="18">
        <f>C68*B68</f>
        <v/>
      </c>
      <c r="E68" s="18">
        <f>C68*(1/(1+Calculator!$B$5))^A68</f>
        <v/>
      </c>
      <c r="F68" s="18">
        <f>SUM(E68:E$112)</f>
        <v/>
      </c>
      <c r="G68" s="18">
        <f>D68*(1/(1+Calculator!$B$5))^(A68+1)</f>
        <v/>
      </c>
      <c r="H68" s="18">
        <f>SUM(G68:G$112)</f>
        <v/>
      </c>
    </row>
    <row r="69">
      <c r="A69" t="n">
        <v>67</v>
      </c>
      <c r="B69" s="17" t="n">
        <v>0.0074</v>
      </c>
      <c r="C69" s="18">
        <f>C68*(1-B68)</f>
        <v/>
      </c>
      <c r="D69" s="18">
        <f>C69*B69</f>
        <v/>
      </c>
      <c r="E69" s="18">
        <f>C69*(1/(1+Calculator!$B$5))^A69</f>
        <v/>
      </c>
      <c r="F69" s="18">
        <f>SUM(E69:E$112)</f>
        <v/>
      </c>
      <c r="G69" s="18">
        <f>D69*(1/(1+Calculator!$B$5))^(A69+1)</f>
        <v/>
      </c>
      <c r="H69" s="18">
        <f>SUM(G69:G$112)</f>
        <v/>
      </c>
    </row>
    <row r="70">
      <c r="A70" t="n">
        <v>68</v>
      </c>
      <c r="B70" s="17" t="n">
        <v>0.008160000000000001</v>
      </c>
      <c r="C70" s="18">
        <f>C69*(1-B69)</f>
        <v/>
      </c>
      <c r="D70" s="18">
        <f>C70*B70</f>
        <v/>
      </c>
      <c r="E70" s="18">
        <f>C70*(1/(1+Calculator!$B$5))^A70</f>
        <v/>
      </c>
      <c r="F70" s="18">
        <f>SUM(E70:E$112)</f>
        <v/>
      </c>
      <c r="G70" s="18">
        <f>D70*(1/(1+Calculator!$B$5))^(A70+1)</f>
        <v/>
      </c>
      <c r="H70" s="18">
        <f>SUM(G70:G$112)</f>
        <v/>
      </c>
    </row>
    <row r="71">
      <c r="A71" t="n">
        <v>69</v>
      </c>
      <c r="B71" s="17" t="n">
        <v>0.009015</v>
      </c>
      <c r="C71" s="18">
        <f>C70*(1-B70)</f>
        <v/>
      </c>
      <c r="D71" s="18">
        <f>C71*B71</f>
        <v/>
      </c>
      <c r="E71" s="18">
        <f>C71*(1/(1+Calculator!$B$5))^A71</f>
        <v/>
      </c>
      <c r="F71" s="18">
        <f>SUM(E71:E$112)</f>
        <v/>
      </c>
      <c r="G71" s="18">
        <f>D71*(1/(1+Calculator!$B$5))^(A71+1)</f>
        <v/>
      </c>
      <c r="H71" s="18">
        <f>SUM(G71:G$112)</f>
        <v/>
      </c>
    </row>
    <row r="72">
      <c r="A72" t="n">
        <v>70</v>
      </c>
      <c r="B72" s="17" t="n">
        <v>0.009977</v>
      </c>
      <c r="C72" s="18">
        <f>C71*(1-B71)</f>
        <v/>
      </c>
      <c r="D72" s="18">
        <f>C72*B72</f>
        <v/>
      </c>
      <c r="E72" s="18">
        <f>C72*(1/(1+Calculator!$B$5))^A72</f>
        <v/>
      </c>
      <c r="F72" s="18">
        <f>SUM(E72:E$112)</f>
        <v/>
      </c>
      <c r="G72" s="18">
        <f>D72*(1/(1+Calculator!$B$5))^(A72+1)</f>
        <v/>
      </c>
      <c r="H72" s="18">
        <f>SUM(G72:G$112)</f>
        <v/>
      </c>
    </row>
    <row r="73">
      <c r="A73" t="n">
        <v>71</v>
      </c>
      <c r="B73" s="17" t="n">
        <v>0.011061</v>
      </c>
      <c r="C73" s="18">
        <f>C72*(1-B72)</f>
        <v/>
      </c>
      <c r="D73" s="18">
        <f>C73*B73</f>
        <v/>
      </c>
      <c r="E73" s="18">
        <f>C73*(1/(1+Calculator!$B$5))^A73</f>
        <v/>
      </c>
      <c r="F73" s="18">
        <f>SUM(E73:E$112)</f>
        <v/>
      </c>
      <c r="G73" s="18">
        <f>D73*(1/(1+Calculator!$B$5))^(A73+1)</f>
        <v/>
      </c>
      <c r="H73" s="18">
        <f>SUM(G73:G$112)</f>
        <v/>
      </c>
    </row>
    <row r="74">
      <c r="A74" t="n">
        <v>72</v>
      </c>
      <c r="B74" s="17" t="n">
        <v>0.012285</v>
      </c>
      <c r="C74" s="18">
        <f>C73*(1-B73)</f>
        <v/>
      </c>
      <c r="D74" s="18">
        <f>C74*B74</f>
        <v/>
      </c>
      <c r="E74" s="18">
        <f>C74*(1/(1+Calculator!$B$5))^A74</f>
        <v/>
      </c>
      <c r="F74" s="18">
        <f>SUM(E74:E$112)</f>
        <v/>
      </c>
      <c r="G74" s="18">
        <f>D74*(1/(1+Calculator!$B$5))^(A74+1)</f>
        <v/>
      </c>
      <c r="H74" s="18">
        <f>SUM(G74:G$112)</f>
        <v/>
      </c>
    </row>
    <row r="75">
      <c r="A75" t="n">
        <v>73</v>
      </c>
      <c r="B75" s="17" t="n">
        <v>0.013668</v>
      </c>
      <c r="C75" s="18">
        <f>C74*(1-B74)</f>
        <v/>
      </c>
      <c r="D75" s="18">
        <f>C75*B75</f>
        <v/>
      </c>
      <c r="E75" s="18">
        <f>C75*(1/(1+Calculator!$B$5))^A75</f>
        <v/>
      </c>
      <c r="F75" s="18">
        <f>SUM(E75:E$112)</f>
        <v/>
      </c>
      <c r="G75" s="18">
        <f>D75*(1/(1+Calculator!$B$5))^(A75+1)</f>
        <v/>
      </c>
      <c r="H75" s="18">
        <f>SUM(G75:G$112)</f>
        <v/>
      </c>
    </row>
    <row r="76">
      <c r="A76" t="n">
        <v>74</v>
      </c>
      <c r="B76" s="17" t="n">
        <v>0.015235</v>
      </c>
      <c r="C76" s="18">
        <f>C75*(1-B75)</f>
        <v/>
      </c>
      <c r="D76" s="18">
        <f>C76*B76</f>
        <v/>
      </c>
      <c r="E76" s="18">
        <f>C76*(1/(1+Calculator!$B$5))^A76</f>
        <v/>
      </c>
      <c r="F76" s="18">
        <f>SUM(E76:E$112)</f>
        <v/>
      </c>
      <c r="G76" s="18">
        <f>D76*(1/(1+Calculator!$B$5))^(A76+1)</f>
        <v/>
      </c>
      <c r="H76" s="18">
        <f>SUM(G76:G$112)</f>
        <v/>
      </c>
    </row>
    <row r="77">
      <c r="A77" t="n">
        <v>75</v>
      </c>
      <c r="B77" s="17" t="n">
        <v>0.017009</v>
      </c>
      <c r="C77" s="18">
        <f>C76*(1-B76)</f>
        <v/>
      </c>
      <c r="D77" s="18">
        <f>C77*B77</f>
        <v/>
      </c>
      <c r="E77" s="18">
        <f>C77*(1/(1+Calculator!$B$5))^A77</f>
        <v/>
      </c>
      <c r="F77" s="18">
        <f>SUM(E77:E$112)</f>
        <v/>
      </c>
      <c r="G77" s="18">
        <f>D77*(1/(1+Calculator!$B$5))^(A77+1)</f>
        <v/>
      </c>
      <c r="H77" s="18">
        <f>SUM(G77:G$112)</f>
        <v/>
      </c>
    </row>
    <row r="78">
      <c r="A78" t="n">
        <v>76</v>
      </c>
      <c r="B78" s="17" t="n">
        <v>0.019024</v>
      </c>
      <c r="C78" s="18">
        <f>C77*(1-B77)</f>
        <v/>
      </c>
      <c r="D78" s="18">
        <f>C78*B78</f>
        <v/>
      </c>
      <c r="E78" s="18">
        <f>C78*(1/(1+Calculator!$B$5))^A78</f>
        <v/>
      </c>
      <c r="F78" s="18">
        <f>SUM(E78:E$112)</f>
        <v/>
      </c>
      <c r="G78" s="18">
        <f>D78*(1/(1+Calculator!$B$5))^(A78+1)</f>
        <v/>
      </c>
      <c r="H78" s="18">
        <f>SUM(G78:G$112)</f>
        <v/>
      </c>
    </row>
    <row r="79">
      <c r="A79" t="n">
        <v>77</v>
      </c>
      <c r="B79" s="17" t="n">
        <v>0.021312</v>
      </c>
      <c r="C79" s="18">
        <f>C78*(1-B78)</f>
        <v/>
      </c>
      <c r="D79" s="18">
        <f>C79*B79</f>
        <v/>
      </c>
      <c r="E79" s="18">
        <f>C79*(1/(1+Calculator!$B$5))^A79</f>
        <v/>
      </c>
      <c r="F79" s="18">
        <f>SUM(E79:E$112)</f>
        <v/>
      </c>
      <c r="G79" s="18">
        <f>D79*(1/(1+Calculator!$B$5))^(A79+1)</f>
        <v/>
      </c>
      <c r="H79" s="18">
        <f>SUM(G79:G$112)</f>
        <v/>
      </c>
    </row>
    <row r="80">
      <c r="A80" t="n">
        <v>78</v>
      </c>
      <c r="B80" s="17" t="n">
        <v>0.023915</v>
      </c>
      <c r="C80" s="18">
        <f>C79*(1-B79)</f>
        <v/>
      </c>
      <c r="D80" s="18">
        <f>C80*B80</f>
        <v/>
      </c>
      <c r="E80" s="18">
        <f>C80*(1/(1+Calculator!$B$5))^A80</f>
        <v/>
      </c>
      <c r="F80" s="18">
        <f>SUM(E80:E$112)</f>
        <v/>
      </c>
      <c r="G80" s="18">
        <f>D80*(1/(1+Calculator!$B$5))^(A80+1)</f>
        <v/>
      </c>
      <c r="H80" s="18">
        <f>SUM(G80:G$112)</f>
        <v/>
      </c>
    </row>
    <row r="81">
      <c r="A81" t="n">
        <v>79</v>
      </c>
      <c r="B81" s="17" t="n">
        <v>0.026879</v>
      </c>
      <c r="C81" s="18">
        <f>C80*(1-B80)</f>
        <v/>
      </c>
      <c r="D81" s="18">
        <f>C81*B81</f>
        <v/>
      </c>
      <c r="E81" s="18">
        <f>C81*(1/(1+Calculator!$B$5))^A81</f>
        <v/>
      </c>
      <c r="F81" s="18">
        <f>SUM(E81:E$112)</f>
        <v/>
      </c>
      <c r="G81" s="18">
        <f>D81*(1/(1+Calculator!$B$5))^(A81+1)</f>
        <v/>
      </c>
      <c r="H81" s="18">
        <f>SUM(G81:G$112)</f>
        <v/>
      </c>
    </row>
    <row r="82">
      <c r="A82" t="n">
        <v>80</v>
      </c>
      <c r="B82" s="17" t="n">
        <v>0.030257</v>
      </c>
      <c r="C82" s="18">
        <f>C81*(1-B81)</f>
        <v/>
      </c>
      <c r="D82" s="18">
        <f>C82*B82</f>
        <v/>
      </c>
      <c r="E82" s="18">
        <f>C82*(1/(1+Calculator!$B$5))^A82</f>
        <v/>
      </c>
      <c r="F82" s="18">
        <f>SUM(E82:E$112)</f>
        <v/>
      </c>
      <c r="G82" s="18">
        <f>D82*(1/(1+Calculator!$B$5))^(A82+1)</f>
        <v/>
      </c>
      <c r="H82" s="18">
        <f>SUM(G82:G$112)</f>
        <v/>
      </c>
    </row>
    <row r="83">
      <c r="A83" t="n">
        <v>81</v>
      </c>
      <c r="B83" s="17" t="n">
        <v>0.03411</v>
      </c>
      <c r="C83" s="18">
        <f>C82*(1-B82)</f>
        <v/>
      </c>
      <c r="D83" s="18">
        <f>C83*B83</f>
        <v/>
      </c>
      <c r="E83" s="18">
        <f>C83*(1/(1+Calculator!$B$5))^A83</f>
        <v/>
      </c>
      <c r="F83" s="18">
        <f>SUM(E83:E$112)</f>
        <v/>
      </c>
      <c r="G83" s="18">
        <f>D83*(1/(1+Calculator!$B$5))^(A83+1)</f>
        <v/>
      </c>
      <c r="H83" s="18">
        <f>SUM(G83:G$112)</f>
        <v/>
      </c>
    </row>
    <row r="84">
      <c r="A84" t="n">
        <v>82</v>
      </c>
      <c r="B84" s="17" t="n">
        <v>0.038509</v>
      </c>
      <c r="C84" s="18">
        <f>C83*(1-B83)</f>
        <v/>
      </c>
      <c r="D84" s="18">
        <f>C84*B84</f>
        <v/>
      </c>
      <c r="E84" s="18">
        <f>C84*(1/(1+Calculator!$B$5))^A84</f>
        <v/>
      </c>
      <c r="F84" s="18">
        <f>SUM(E84:E$112)</f>
        <v/>
      </c>
      <c r="G84" s="18">
        <f>D84*(1/(1+Calculator!$B$5))^(A84+1)</f>
        <v/>
      </c>
      <c r="H84" s="18">
        <f>SUM(G84:G$112)</f>
        <v/>
      </c>
    </row>
    <row r="85">
      <c r="A85" t="n">
        <v>83</v>
      </c>
      <c r="B85" s="17" t="n">
        <v>0.043533</v>
      </c>
      <c r="C85" s="18">
        <f>C84*(1-B84)</f>
        <v/>
      </c>
      <c r="D85" s="18">
        <f>C85*B85</f>
        <v/>
      </c>
      <c r="E85" s="18">
        <f>C85*(1/(1+Calculator!$B$5))^A85</f>
        <v/>
      </c>
      <c r="F85" s="18">
        <f>SUM(E85:E$112)</f>
        <v/>
      </c>
      <c r="G85" s="18">
        <f>D85*(1/(1+Calculator!$B$5))^(A85+1)</f>
        <v/>
      </c>
      <c r="H85" s="18">
        <f>SUM(G85:G$112)</f>
        <v/>
      </c>
    </row>
    <row r="86">
      <c r="A86" t="n">
        <v>84</v>
      </c>
      <c r="B86" s="17" t="n">
        <v>0.049274</v>
      </c>
      <c r="C86" s="18">
        <f>C85*(1-B85)</f>
        <v/>
      </c>
      <c r="D86" s="18">
        <f>C86*B86</f>
        <v/>
      </c>
      <c r="E86" s="18">
        <f>C86*(1/(1+Calculator!$B$5))^A86</f>
        <v/>
      </c>
      <c r="F86" s="18">
        <f>SUM(E86:E$112)</f>
        <v/>
      </c>
      <c r="G86" s="18">
        <f>D86*(1/(1+Calculator!$B$5))^(A86+1)</f>
        <v/>
      </c>
      <c r="H86" s="18">
        <f>SUM(G86:G$112)</f>
        <v/>
      </c>
    </row>
    <row r="87">
      <c r="A87" t="n">
        <v>85</v>
      </c>
      <c r="B87" s="17" t="n">
        <v>0.055833</v>
      </c>
      <c r="C87" s="18">
        <f>C86*(1-B86)</f>
        <v/>
      </c>
      <c r="D87" s="18">
        <f>C87*B87</f>
        <v/>
      </c>
      <c r="E87" s="18">
        <f>C87*(1/(1+Calculator!$B$5))^A87</f>
        <v/>
      </c>
      <c r="F87" s="18">
        <f>SUM(E87:E$112)</f>
        <v/>
      </c>
      <c r="G87" s="18">
        <f>D87*(1/(1+Calculator!$B$5))^(A87+1)</f>
        <v/>
      </c>
      <c r="H87" s="18">
        <f>SUM(G87:G$112)</f>
        <v/>
      </c>
    </row>
    <row r="88">
      <c r="A88" t="n">
        <v>86</v>
      </c>
      <c r="B88" s="17" t="n">
        <v>0.063329</v>
      </c>
      <c r="C88" s="18">
        <f>C87*(1-B87)</f>
        <v/>
      </c>
      <c r="D88" s="18">
        <f>C88*B88</f>
        <v/>
      </c>
      <c r="E88" s="18">
        <f>C88*(1/(1+Calculator!$B$5))^A88</f>
        <v/>
      </c>
      <c r="F88" s="18">
        <f>SUM(E88:E$112)</f>
        <v/>
      </c>
      <c r="G88" s="18">
        <f>D88*(1/(1+Calculator!$B$5))^(A88+1)</f>
        <v/>
      </c>
      <c r="H88" s="18">
        <f>SUM(G88:G$112)</f>
        <v/>
      </c>
    </row>
    <row r="89">
      <c r="A89" t="n">
        <v>87</v>
      </c>
      <c r="B89" s="17" t="n">
        <v>0.07188899999999999</v>
      </c>
      <c r="C89" s="18">
        <f>C88*(1-B88)</f>
        <v/>
      </c>
      <c r="D89" s="18">
        <f>C89*B89</f>
        <v/>
      </c>
      <c r="E89" s="18">
        <f>C89*(1/(1+Calculator!$B$5))^A89</f>
        <v/>
      </c>
      <c r="F89" s="18">
        <f>SUM(E89:E$112)</f>
        <v/>
      </c>
      <c r="G89" s="18">
        <f>D89*(1/(1+Calculator!$B$5))^(A89+1)</f>
        <v/>
      </c>
      <c r="H89" s="18">
        <f>SUM(G89:G$112)</f>
        <v/>
      </c>
    </row>
    <row r="90">
      <c r="A90" t="n">
        <v>88</v>
      </c>
      <c r="B90" s="17" t="n">
        <v>0.08166</v>
      </c>
      <c r="C90" s="18">
        <f>C89*(1-B89)</f>
        <v/>
      </c>
      <c r="D90" s="18">
        <f>C90*B90</f>
        <v/>
      </c>
      <c r="E90" s="18">
        <f>C90*(1/(1+Calculator!$B$5))^A90</f>
        <v/>
      </c>
      <c r="F90" s="18">
        <f>SUM(E90:E$112)</f>
        <v/>
      </c>
      <c r="G90" s="18">
        <f>D90*(1/(1+Calculator!$B$5))^(A90+1)</f>
        <v/>
      </c>
      <c r="H90" s="18">
        <f>SUM(G90:G$112)</f>
        <v/>
      </c>
    </row>
    <row r="91">
      <c r="A91" t="n">
        <v>89</v>
      </c>
      <c r="B91" s="17" t="n">
        <v>0.09279800000000001</v>
      </c>
      <c r="C91" s="18">
        <f>C90*(1-B90)</f>
        <v/>
      </c>
      <c r="D91" s="18">
        <f>C91*B91</f>
        <v/>
      </c>
      <c r="E91" s="18">
        <f>C91*(1/(1+Calculator!$B$5))^A91</f>
        <v/>
      </c>
      <c r="F91" s="18">
        <f>SUM(E91:E$112)</f>
        <v/>
      </c>
      <c r="G91" s="18">
        <f>D91*(1/(1+Calculator!$B$5))^(A91+1)</f>
        <v/>
      </c>
      <c r="H91" s="18">
        <f>SUM(G91:G$112)</f>
        <v/>
      </c>
    </row>
    <row r="92">
      <c r="A92" t="n">
        <v>90</v>
      </c>
      <c r="B92" s="17" t="n">
        <v>0.105476</v>
      </c>
      <c r="C92" s="18">
        <f>C91*(1-B91)</f>
        <v/>
      </c>
      <c r="D92" s="18">
        <f>C92*B92</f>
        <v/>
      </c>
      <c r="E92" s="18">
        <f>C92*(1/(1+Calculator!$B$5))^A92</f>
        <v/>
      </c>
      <c r="F92" s="18">
        <f>SUM(E92:E$112)</f>
        <v/>
      </c>
      <c r="G92" s="18">
        <f>D92*(1/(1+Calculator!$B$5))^(A92+1)</f>
        <v/>
      </c>
      <c r="H92" s="18">
        <f>SUM(G92:G$112)</f>
        <v/>
      </c>
    </row>
    <row r="93">
      <c r="A93" t="n">
        <v>91</v>
      </c>
      <c r="B93" s="17" t="n">
        <v>0.119875</v>
      </c>
      <c r="C93" s="18">
        <f>C92*(1-B92)</f>
        <v/>
      </c>
      <c r="D93" s="18">
        <f>C93*B93</f>
        <v/>
      </c>
      <c r="E93" s="18">
        <f>C93*(1/(1+Calculator!$B$5))^A93</f>
        <v/>
      </c>
      <c r="F93" s="18">
        <f>SUM(E93:E$112)</f>
        <v/>
      </c>
      <c r="G93" s="18">
        <f>D93*(1/(1+Calculator!$B$5))^(A93+1)</f>
        <v/>
      </c>
      <c r="H93" s="18">
        <f>SUM(G93:G$112)</f>
        <v/>
      </c>
    </row>
    <row r="94">
      <c r="A94" t="n">
        <v>92</v>
      </c>
      <c r="B94" s="17" t="n">
        <v>0.136184</v>
      </c>
      <c r="C94" s="18">
        <f>C93*(1-B93)</f>
        <v/>
      </c>
      <c r="D94" s="18">
        <f>C94*B94</f>
        <v/>
      </c>
      <c r="E94" s="18">
        <f>C94*(1/(1+Calculator!$B$5))^A94</f>
        <v/>
      </c>
      <c r="F94" s="18">
        <f>SUM(E94:E$112)</f>
        <v/>
      </c>
      <c r="G94" s="18">
        <f>D94*(1/(1+Calculator!$B$5))^(A94+1)</f>
        <v/>
      </c>
      <c r="H94" s="18">
        <f>SUM(G94:G$112)</f>
        <v/>
      </c>
    </row>
    <row r="95">
      <c r="A95" t="n">
        <v>93</v>
      </c>
      <c r="B95" s="17" t="n">
        <v>0.154594</v>
      </c>
      <c r="C95" s="18">
        <f>C94*(1-B94)</f>
        <v/>
      </c>
      <c r="D95" s="18">
        <f>C95*B95</f>
        <v/>
      </c>
      <c r="E95" s="18">
        <f>C95*(1/(1+Calculator!$B$5))^A95</f>
        <v/>
      </c>
      <c r="F95" s="18">
        <f>SUM(E95:E$112)</f>
        <v/>
      </c>
      <c r="G95" s="18">
        <f>D95*(1/(1+Calculator!$B$5))^(A95+1)</f>
        <v/>
      </c>
      <c r="H95" s="18">
        <f>SUM(G95:G$112)</f>
        <v/>
      </c>
    </row>
    <row r="96">
      <c r="A96" t="n">
        <v>94</v>
      </c>
      <c r="B96" s="17" t="n">
        <v>0.175291</v>
      </c>
      <c r="C96" s="18">
        <f>C95*(1-B95)</f>
        <v/>
      </c>
      <c r="D96" s="18">
        <f>C96*B96</f>
        <v/>
      </c>
      <c r="E96" s="18">
        <f>C96*(1/(1+Calculator!$B$5))^A96</f>
        <v/>
      </c>
      <c r="F96" s="18">
        <f>SUM(E96:E$112)</f>
        <v/>
      </c>
      <c r="G96" s="18">
        <f>D96*(1/(1+Calculator!$B$5))^(A96+1)</f>
        <v/>
      </c>
      <c r="H96" s="18">
        <f>SUM(G96:G$112)</f>
        <v/>
      </c>
    </row>
    <row r="97">
      <c r="A97" t="n">
        <v>95</v>
      </c>
      <c r="B97" s="17" t="n">
        <v>0.198441</v>
      </c>
      <c r="C97" s="18">
        <f>C96*(1-B96)</f>
        <v/>
      </c>
      <c r="D97" s="18">
        <f>C97*B97</f>
        <v/>
      </c>
      <c r="E97" s="18">
        <f>C97*(1/(1+Calculator!$B$5))^A97</f>
        <v/>
      </c>
      <c r="F97" s="18">
        <f>SUM(E97:E$112)</f>
        <v/>
      </c>
      <c r="G97" s="18">
        <f>D97*(1/(1+Calculator!$B$5))^(A97+1)</f>
        <v/>
      </c>
      <c r="H97" s="18">
        <f>SUM(G97:G$112)</f>
        <v/>
      </c>
    </row>
    <row r="98">
      <c r="A98" t="n">
        <v>96</v>
      </c>
      <c r="B98" s="17" t="n">
        <v>0.224184</v>
      </c>
      <c r="C98" s="18">
        <f>C97*(1-B97)</f>
        <v/>
      </c>
      <c r="D98" s="18">
        <f>C98*B98</f>
        <v/>
      </c>
      <c r="E98" s="18">
        <f>C98*(1/(1+Calculator!$B$5))^A98</f>
        <v/>
      </c>
      <c r="F98" s="18">
        <f>SUM(E98:E$112)</f>
        <v/>
      </c>
      <c r="G98" s="18">
        <f>D98*(1/(1+Calculator!$B$5))^(A98+1)</f>
        <v/>
      </c>
      <c r="H98" s="18">
        <f>SUM(G98:G$112)</f>
        <v/>
      </c>
    </row>
    <row r="99">
      <c r="A99" t="n">
        <v>97</v>
      </c>
      <c r="B99" s="17" t="n">
        <v>0.252613</v>
      </c>
      <c r="C99" s="18">
        <f>C98*(1-B98)</f>
        <v/>
      </c>
      <c r="D99" s="18">
        <f>C99*B99</f>
        <v/>
      </c>
      <c r="E99" s="18">
        <f>C99*(1/(1+Calculator!$B$5))^A99</f>
        <v/>
      </c>
      <c r="F99" s="18">
        <f>SUM(E99:E$112)</f>
        <v/>
      </c>
      <c r="G99" s="18">
        <f>D99*(1/(1+Calculator!$B$5))^(A99+1)</f>
        <v/>
      </c>
      <c r="H99" s="18">
        <f>SUM(G99:G$112)</f>
        <v/>
      </c>
    </row>
    <row r="100">
      <c r="A100" t="n">
        <v>98</v>
      </c>
      <c r="B100" s="17" t="n">
        <v>0.28376</v>
      </c>
      <c r="C100" s="18">
        <f>C99*(1-B99)</f>
        <v/>
      </c>
      <c r="D100" s="18">
        <f>C100*B100</f>
        <v/>
      </c>
      <c r="E100" s="18">
        <f>C100*(1/(1+Calculator!$B$5))^A100</f>
        <v/>
      </c>
      <c r="F100" s="18">
        <f>SUM(E100:E$112)</f>
        <v/>
      </c>
      <c r="G100" s="18">
        <f>D100*(1/(1+Calculator!$B$5))^(A100+1)</f>
        <v/>
      </c>
      <c r="H100" s="18">
        <f>SUM(G100:G$112)</f>
        <v/>
      </c>
    </row>
    <row r="101">
      <c r="A101" t="n">
        <v>99</v>
      </c>
      <c r="B101" s="17" t="n">
        <v>0.317576</v>
      </c>
      <c r="C101" s="18">
        <f>C100*(1-B100)</f>
        <v/>
      </c>
      <c r="D101" s="18">
        <f>C101*B101</f>
        <v/>
      </c>
      <c r="E101" s="18">
        <f>C101*(1/(1+Calculator!$B$5))^A101</f>
        <v/>
      </c>
      <c r="F101" s="18">
        <f>SUM(E101:E$112)</f>
        <v/>
      </c>
      <c r="G101" s="18">
        <f>D101*(1/(1+Calculator!$B$5))^(A101+1)</f>
        <v/>
      </c>
      <c r="H101" s="18">
        <f>SUM(G101:G$112)</f>
        <v/>
      </c>
    </row>
    <row r="102">
      <c r="A102" t="n">
        <v>100</v>
      </c>
      <c r="B102" s="17" t="n">
        <v>0.353919</v>
      </c>
      <c r="C102" s="18">
        <f>C101*(1-B101)</f>
        <v/>
      </c>
      <c r="D102" s="18">
        <f>C102*B102</f>
        <v/>
      </c>
      <c r="E102" s="18">
        <f>C102*(1/(1+Calculator!$B$5))^A102</f>
        <v/>
      </c>
      <c r="F102" s="18">
        <f>SUM(E102:E$112)</f>
        <v/>
      </c>
      <c r="G102" s="18">
        <f>D102*(1/(1+Calculator!$B$5))^(A102+1)</f>
        <v/>
      </c>
      <c r="H102" s="18">
        <f>SUM(G102:G$112)</f>
        <v/>
      </c>
    </row>
    <row r="103">
      <c r="A103" t="n">
        <v>101</v>
      </c>
      <c r="B103" s="17" t="n">
        <v>0.39254</v>
      </c>
      <c r="C103" s="18">
        <f>C102*(1-B102)</f>
        <v/>
      </c>
      <c r="D103" s="18">
        <f>C103*B103</f>
        <v/>
      </c>
      <c r="E103" s="18">
        <f>C103*(1/(1+Calculator!$B$5))^A103</f>
        <v/>
      </c>
      <c r="F103" s="18">
        <f>SUM(E103:E$112)</f>
        <v/>
      </c>
      <c r="G103" s="18">
        <f>D103*(1/(1+Calculator!$B$5))^(A103+1)</f>
        <v/>
      </c>
      <c r="H103" s="18">
        <f>SUM(G103:G$112)</f>
        <v/>
      </c>
    </row>
    <row r="104">
      <c r="A104" t="n">
        <v>102</v>
      </c>
      <c r="B104" s="17" t="n">
        <v>0.433078</v>
      </c>
      <c r="C104" s="18">
        <f>C103*(1-B103)</f>
        <v/>
      </c>
      <c r="D104" s="18">
        <f>C104*B104</f>
        <v/>
      </c>
      <c r="E104" s="18">
        <f>C104*(1/(1+Calculator!$B$5))^A104</f>
        <v/>
      </c>
      <c r="F104" s="18">
        <f>SUM(E104:E$112)</f>
        <v/>
      </c>
      <c r="G104" s="18">
        <f>D104*(1/(1+Calculator!$B$5))^(A104+1)</f>
        <v/>
      </c>
      <c r="H104" s="18">
        <f>SUM(G104:G$112)</f>
        <v/>
      </c>
    </row>
    <row r="105">
      <c r="A105" t="n">
        <v>103</v>
      </c>
      <c r="B105" s="17" t="n">
        <v>0.475068</v>
      </c>
      <c r="C105" s="18">
        <f>C104*(1-B104)</f>
        <v/>
      </c>
      <c r="D105" s="18">
        <f>C105*B105</f>
        <v/>
      </c>
      <c r="E105" s="18">
        <f>C105*(1/(1+Calculator!$B$5))^A105</f>
        <v/>
      </c>
      <c r="F105" s="18">
        <f>SUM(E105:E$112)</f>
        <v/>
      </c>
      <c r="G105" s="18">
        <f>D105*(1/(1+Calculator!$B$5))^(A105+1)</f>
        <v/>
      </c>
      <c r="H105" s="18">
        <f>SUM(G105:G$112)</f>
        <v/>
      </c>
    </row>
    <row r="106">
      <c r="A106" t="n">
        <v>104</v>
      </c>
      <c r="B106" s="17" t="n">
        <v>0.517949</v>
      </c>
      <c r="C106" s="18">
        <f>C105*(1-B105)</f>
        <v/>
      </c>
      <c r="D106" s="18">
        <f>C106*B106</f>
        <v/>
      </c>
      <c r="E106" s="18">
        <f>C106*(1/(1+Calculator!$B$5))^A106</f>
        <v/>
      </c>
      <c r="F106" s="18">
        <f>SUM(E106:E$112)</f>
        <v/>
      </c>
      <c r="G106" s="18">
        <f>D106*(1/(1+Calculator!$B$5))^(A106+1)</f>
        <v/>
      </c>
      <c r="H106" s="18">
        <f>SUM(G106:G$112)</f>
        <v/>
      </c>
    </row>
    <row r="107">
      <c r="A107" t="n">
        <v>105</v>
      </c>
      <c r="B107" s="17" t="n">
        <v>0.561099</v>
      </c>
      <c r="C107" s="18">
        <f>C106*(1-B106)</f>
        <v/>
      </c>
      <c r="D107" s="18">
        <f>C107*B107</f>
        <v/>
      </c>
      <c r="E107" s="18">
        <f>C107*(1/(1+Calculator!$B$5))^A107</f>
        <v/>
      </c>
      <c r="F107" s="18">
        <f>SUM(E107:E$112)</f>
        <v/>
      </c>
      <c r="G107" s="18">
        <f>D107*(1/(1+Calculator!$B$5))^(A107+1)</f>
        <v/>
      </c>
      <c r="H107" s="18">
        <f>SUM(G107:G$112)</f>
        <v/>
      </c>
    </row>
    <row r="108">
      <c r="A108" t="n">
        <v>106</v>
      </c>
      <c r="B108" s="17" t="n">
        <v>0.603861</v>
      </c>
      <c r="C108" s="18">
        <f>C107*(1-B107)</f>
        <v/>
      </c>
      <c r="D108" s="18">
        <f>C108*B108</f>
        <v/>
      </c>
      <c r="E108" s="18">
        <f>C108*(1/(1+Calculator!$B$5))^A108</f>
        <v/>
      </c>
      <c r="F108" s="18">
        <f>SUM(E108:E$112)</f>
        <v/>
      </c>
      <c r="G108" s="18">
        <f>D108*(1/(1+Calculator!$B$5))^(A108+1)</f>
        <v/>
      </c>
      <c r="H108" s="18">
        <f>SUM(G108:G$112)</f>
        <v/>
      </c>
    </row>
    <row r="109">
      <c r="A109" t="n">
        <v>107</v>
      </c>
      <c r="B109" s="17" t="n">
        <v>0.645589</v>
      </c>
      <c r="C109" s="18">
        <f>C108*(1-B108)</f>
        <v/>
      </c>
      <c r="D109" s="18">
        <f>C109*B109</f>
        <v/>
      </c>
      <c r="E109" s="18">
        <f>C109*(1/(1+Calculator!$B$5))^A109</f>
        <v/>
      </c>
      <c r="F109" s="18">
        <f>SUM(E109:E$112)</f>
        <v/>
      </c>
      <c r="G109" s="18">
        <f>D109*(1/(1+Calculator!$B$5))^(A109+1)</f>
        <v/>
      </c>
      <c r="H109" s="18">
        <f>SUM(G109:G$112)</f>
        <v/>
      </c>
    </row>
    <row r="110">
      <c r="A110" t="n">
        <v>108</v>
      </c>
      <c r="B110" s="17" t="n">
        <v>0.685682</v>
      </c>
      <c r="C110" s="18">
        <f>C109*(1-B109)</f>
        <v/>
      </c>
      <c r="D110" s="18">
        <f>C110*B110</f>
        <v/>
      </c>
      <c r="E110" s="18">
        <f>C110*(1/(1+Calculator!$B$5))^A110</f>
        <v/>
      </c>
      <c r="F110" s="18">
        <f>SUM(E110:E$112)</f>
        <v/>
      </c>
      <c r="G110" s="18">
        <f>D110*(1/(1+Calculator!$B$5))^(A110+1)</f>
        <v/>
      </c>
      <c r="H110" s="18">
        <f>SUM(G110:G$112)</f>
        <v/>
      </c>
    </row>
    <row r="111">
      <c r="A111" t="n">
        <v>109</v>
      </c>
      <c r="B111" s="17" t="n">
        <v>0.72362</v>
      </c>
      <c r="C111" s="18">
        <f>C110*(1-B110)</f>
        <v/>
      </c>
      <c r="D111" s="18">
        <f>C111*B111</f>
        <v/>
      </c>
      <c r="E111" s="18">
        <f>C111*(1/(1+Calculator!$B$5))^A111</f>
        <v/>
      </c>
      <c r="F111" s="18">
        <f>SUM(E111:E$112)</f>
        <v/>
      </c>
      <c r="G111" s="18">
        <f>D111*(1/(1+Calculator!$B$5))^(A111+1)</f>
        <v/>
      </c>
      <c r="H111" s="18">
        <f>SUM(G111:G$112)</f>
        <v/>
      </c>
    </row>
    <row r="112">
      <c r="A112" t="n">
        <v>110</v>
      </c>
      <c r="B112" s="17" t="n">
        <v>1</v>
      </c>
      <c r="C112" s="18">
        <f>C111*(1-B111)</f>
        <v/>
      </c>
      <c r="D112" s="18">
        <f>C112*B112</f>
        <v/>
      </c>
      <c r="E112" s="18">
        <f>C112*(1/(1+Calculator!$B$5))^A112</f>
        <v/>
      </c>
      <c r="F112" s="18">
        <f>SUM(E112:E$112)</f>
        <v/>
      </c>
      <c r="G112" s="18">
        <f>D112*(1/(1+Calculator!$B$5))^(A112+1)</f>
        <v/>
      </c>
      <c r="H112" s="18">
        <f>SUM(G112:G$112)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7" customWidth="1" min="5" max="5"/>
    <col width="20" customWidth="1" min="6" max="6"/>
    <col width="19" customWidth="1" min="7" max="7"/>
    <col width="12" customWidth="1" min="8" max="8"/>
    <col width="16" customWidth="1" min="9" max="9"/>
    <col width="15" customWidth="1" min="10" max="10"/>
  </cols>
  <sheetData>
    <row r="1">
      <c r="A1" s="19" t="inlineStr">
        <is>
          <t>Gross premium of a level term policy, sum assured 1,000,000, solved for a 10% return on CNSF 2013 (illustrative expenses and lapses).</t>
        </is>
      </c>
    </row>
    <row r="3">
      <c r="A3" s="15" t="inlineStr">
        <is>
          <t>Sex</t>
        </is>
      </c>
      <c r="B3" s="15" t="inlineStr">
        <is>
          <t>Issue age</t>
        </is>
      </c>
      <c r="C3" s="15" t="inlineStr">
        <is>
          <t>Term</t>
        </is>
      </c>
      <c r="D3" s="15" t="inlineStr">
        <is>
          <t>Net per 1000</t>
        </is>
      </c>
      <c r="E3" s="15" t="inlineStr">
        <is>
          <t>Gross per 1000</t>
        </is>
      </c>
      <c r="F3" s="15" t="inlineStr">
        <is>
          <t>Gross premium MXN</t>
        </is>
      </c>
      <c r="G3" s="15" t="inlineStr">
        <is>
          <t>Loading over net</t>
        </is>
      </c>
      <c r="H3" s="15" t="inlineStr">
        <is>
          <t>IRR</t>
        </is>
      </c>
      <c r="I3" s="15" t="inlineStr">
        <is>
          <t>Year-1 profit</t>
        </is>
      </c>
      <c r="J3" s="15" t="inlineStr">
        <is>
          <t>Payback year</t>
        </is>
      </c>
    </row>
    <row r="4">
      <c r="A4" t="inlineStr">
        <is>
          <t>F</t>
        </is>
      </c>
      <c r="B4" t="n">
        <v>25</v>
      </c>
      <c r="C4" t="n">
        <v>10</v>
      </c>
      <c r="D4" s="20" t="n">
        <v>0.6411187934615554</v>
      </c>
      <c r="E4" s="20" t="n">
        <v>1.256820212176436</v>
      </c>
      <c r="F4" s="21" t="n">
        <v>1256.820212176437</v>
      </c>
      <c r="G4" s="22" t="n">
        <v>0.9603546565692771</v>
      </c>
      <c r="H4" s="23" t="n">
        <v>0.09999999999999998</v>
      </c>
      <c r="I4" s="21" t="n">
        <v>-1220.897249531701</v>
      </c>
      <c r="J4" t="n">
        <v>0</v>
      </c>
    </row>
    <row r="5">
      <c r="A5" t="inlineStr">
        <is>
          <t>F</t>
        </is>
      </c>
      <c r="B5" t="n">
        <v>30</v>
      </c>
      <c r="C5" t="n">
        <v>10</v>
      </c>
      <c r="D5" s="20" t="n">
        <v>0.7730429141919822</v>
      </c>
      <c r="E5" s="20" t="n">
        <v>1.410584861244193</v>
      </c>
      <c r="F5" s="21" t="n">
        <v>1410.584861244193</v>
      </c>
      <c r="G5" s="22" t="n">
        <v>0.8247174061722005</v>
      </c>
      <c r="H5" s="23" t="n">
        <v>0.09999999999999998</v>
      </c>
      <c r="I5" s="21" t="n">
        <v>-1313.346995299499</v>
      </c>
      <c r="J5" t="n">
        <v>0</v>
      </c>
    </row>
    <row r="6">
      <c r="A6" t="inlineStr">
        <is>
          <t>F</t>
        </is>
      </c>
      <c r="B6" t="n">
        <v>35</v>
      </c>
      <c r="C6" t="n">
        <v>10</v>
      </c>
      <c r="D6" s="20" t="n">
        <v>0.9692497325887215</v>
      </c>
      <c r="E6" s="20" t="n">
        <v>1.639102896058654</v>
      </c>
      <c r="F6" s="21" t="n">
        <v>1639.102896058654</v>
      </c>
      <c r="G6" s="22" t="n">
        <v>0.6911048215415589</v>
      </c>
      <c r="H6" s="23" t="n">
        <v>0.09999999999999998</v>
      </c>
      <c r="I6" s="21" t="n">
        <v>-1450.914542268724</v>
      </c>
      <c r="J6" t="n">
        <v>0</v>
      </c>
    </row>
    <row r="7">
      <c r="A7" t="inlineStr">
        <is>
          <t>F</t>
        </is>
      </c>
      <c r="B7" t="n">
        <v>40</v>
      </c>
      <c r="C7" t="n">
        <v>10</v>
      </c>
      <c r="D7" s="20" t="n">
        <v>1.265600901991961</v>
      </c>
      <c r="E7" s="20" t="n">
        <v>1.983604562740368</v>
      </c>
      <c r="F7" s="21" t="n">
        <v>1983.604562740368</v>
      </c>
      <c r="G7" s="22" t="n">
        <v>0.5673223364635118</v>
      </c>
      <c r="H7" s="23" t="n">
        <v>0.09999999999999998</v>
      </c>
      <c r="I7" s="21" t="n">
        <v>-1658.423497164413</v>
      </c>
      <c r="J7" t="n">
        <v>0</v>
      </c>
    </row>
    <row r="8">
      <c r="A8" t="inlineStr">
        <is>
          <t>F</t>
        </is>
      </c>
      <c r="B8" t="n">
        <v>45</v>
      </c>
      <c r="C8" t="n">
        <v>10</v>
      </c>
      <c r="D8" s="20" t="n">
        <v>1.72371628935304</v>
      </c>
      <c r="E8" s="20" t="n">
        <v>2.514857603111321</v>
      </c>
      <c r="F8" s="21" t="n">
        <v>2514.857603111322</v>
      </c>
      <c r="G8" s="22" t="n">
        <v>0.4589742051200425</v>
      </c>
      <c r="H8" s="23" t="n">
        <v>0.1000000000000002</v>
      </c>
      <c r="I8" s="21" t="n">
        <v>-1978.681176608452</v>
      </c>
      <c r="J8" t="n">
        <v>10</v>
      </c>
    </row>
    <row r="9">
      <c r="A9" t="inlineStr">
        <is>
          <t>F</t>
        </is>
      </c>
      <c r="B9" t="n">
        <v>50</v>
      </c>
      <c r="C9" t="n">
        <v>10</v>
      </c>
      <c r="D9" s="20" t="n">
        <v>2.451587440152883</v>
      </c>
      <c r="E9" s="20" t="n">
        <v>3.35682076660231</v>
      </c>
      <c r="F9" s="21" t="n">
        <v>3356.82076660231</v>
      </c>
      <c r="G9" s="22" t="n">
        <v>0.3692437445319006</v>
      </c>
      <c r="H9" s="23" t="n">
        <v>0.1000000000000002</v>
      </c>
      <c r="I9" s="21" t="n">
        <v>-2486.575883372402</v>
      </c>
      <c r="J9" t="n">
        <v>10</v>
      </c>
    </row>
    <row r="10">
      <c r="A10" t="inlineStr">
        <is>
          <t>F</t>
        </is>
      </c>
      <c r="B10" t="n">
        <v>55</v>
      </c>
      <c r="C10" t="n">
        <v>10</v>
      </c>
      <c r="D10" s="20" t="n">
        <v>3.644270808820349</v>
      </c>
      <c r="E10" s="20" t="n">
        <v>4.732835639965171</v>
      </c>
      <c r="F10" s="21" t="n">
        <v>4732.835639965171</v>
      </c>
      <c r="G10" s="22" t="n">
        <v>0.2987058010371053</v>
      </c>
      <c r="H10" s="23" t="n">
        <v>0.1000000000000004</v>
      </c>
      <c r="I10" s="21" t="n">
        <v>-3317.070205153258</v>
      </c>
      <c r="J10" t="n">
        <v>10</v>
      </c>
    </row>
    <row r="11">
      <c r="A11" t="inlineStr">
        <is>
          <t>F</t>
        </is>
      </c>
      <c r="B11" t="n">
        <v>60</v>
      </c>
      <c r="C11" t="n">
        <v>10</v>
      </c>
      <c r="D11" s="20" t="n">
        <v>5.664374481550593</v>
      </c>
      <c r="E11" s="20" t="n">
        <v>7.058333616818309</v>
      </c>
      <c r="F11" s="21" t="n">
        <v>7058.333616818309</v>
      </c>
      <c r="G11" s="22" t="n">
        <v>0.2460923337268701</v>
      </c>
      <c r="H11" s="23" t="n">
        <v>0.09999999999999998</v>
      </c>
      <c r="I11" s="21" t="n">
        <v>-4720.381445708423</v>
      </c>
      <c r="J11" t="n">
        <v>0</v>
      </c>
    </row>
    <row r="12">
      <c r="A12" t="inlineStr">
        <is>
          <t>F</t>
        </is>
      </c>
      <c r="B12" t="n">
        <v>25</v>
      </c>
      <c r="C12" t="n">
        <v>20</v>
      </c>
      <c r="D12" s="20" t="n">
        <v>0.7727866216088701</v>
      </c>
      <c r="E12" s="20" t="n">
        <v>1.332051499305279</v>
      </c>
      <c r="F12" s="21" t="n">
        <v>1332.051499305279</v>
      </c>
      <c r="G12" s="22" t="n">
        <v>0.7236989643170473</v>
      </c>
      <c r="H12" s="23" t="n">
        <v>0.09999999999999998</v>
      </c>
      <c r="I12" s="21" t="n">
        <v>-1323.020778393534</v>
      </c>
      <c r="J12" t="n">
        <v>18</v>
      </c>
    </row>
    <row r="13">
      <c r="A13" t="inlineStr">
        <is>
          <t>F</t>
        </is>
      </c>
      <c r="B13" t="n">
        <v>30</v>
      </c>
      <c r="C13" t="n">
        <v>20</v>
      </c>
      <c r="D13" s="20" t="n">
        <v>0.9704507965177006</v>
      </c>
      <c r="E13" s="20" t="n">
        <v>1.535125008801051</v>
      </c>
      <c r="F13" s="21" t="n">
        <v>1535.125008801051</v>
      </c>
      <c r="G13" s="22" t="n">
        <v>0.5818679466383962</v>
      </c>
      <c r="H13" s="23" t="n">
        <v>0.09999999999999998</v>
      </c>
      <c r="I13" s="21" t="n">
        <v>-1463.375942446508</v>
      </c>
      <c r="J13" t="n">
        <v>19</v>
      </c>
    </row>
    <row r="14">
      <c r="A14" t="inlineStr">
        <is>
          <t>F</t>
        </is>
      </c>
      <c r="B14" t="n">
        <v>35</v>
      </c>
      <c r="C14" t="n">
        <v>20</v>
      </c>
      <c r="D14" s="20" t="n">
        <v>1.271071803405694</v>
      </c>
      <c r="E14" s="20" t="n">
        <v>1.8422581829959</v>
      </c>
      <c r="F14" s="21" t="n">
        <v>1842.2581829959</v>
      </c>
      <c r="G14" s="22" t="n">
        <v>0.4493738104014076</v>
      </c>
      <c r="H14" s="23" t="n">
        <v>0.1000000000000004</v>
      </c>
      <c r="I14" s="21" t="n">
        <v>-1676.952788195887</v>
      </c>
      <c r="J14" t="n">
        <v>19</v>
      </c>
    </row>
    <row r="15">
      <c r="A15" t="inlineStr">
        <is>
          <t>F</t>
        </is>
      </c>
      <c r="B15" t="n">
        <v>40</v>
      </c>
      <c r="C15" t="n">
        <v>20</v>
      </c>
      <c r="D15" s="20" t="n">
        <v>1.738703625770224</v>
      </c>
      <c r="E15" s="20" t="n">
        <v>2.316411919569197</v>
      </c>
      <c r="F15" s="21" t="n">
        <v>2316.411919569196</v>
      </c>
      <c r="G15" s="22" t="n">
        <v>0.3322638115182248</v>
      </c>
      <c r="H15" s="23" t="n">
        <v>0.1000000000000004</v>
      </c>
      <c r="I15" s="21" t="n">
        <v>-2008.965447126006</v>
      </c>
      <c r="J15" t="n">
        <v>19</v>
      </c>
    </row>
    <row r="16">
      <c r="A16" t="inlineStr">
        <is>
          <t>F</t>
        </is>
      </c>
      <c r="B16" t="n">
        <v>45</v>
      </c>
      <c r="C16" t="n">
        <v>20</v>
      </c>
      <c r="D16" s="20" t="n">
        <v>2.486373845089821</v>
      </c>
      <c r="E16" s="20" t="n">
        <v>3.068006545464719</v>
      </c>
      <c r="F16" s="21" t="n">
        <v>3068.006545464719</v>
      </c>
      <c r="G16" s="22" t="n">
        <v>0.2339280963413959</v>
      </c>
      <c r="H16" s="23" t="n">
        <v>0.09999999999999998</v>
      </c>
      <c r="I16" s="21" t="n">
        <v>-2539.39541283065</v>
      </c>
      <c r="J16" t="n">
        <v>19</v>
      </c>
    </row>
    <row r="17">
      <c r="A17" t="inlineStr">
        <is>
          <t>F</t>
        </is>
      </c>
      <c r="B17" t="n">
        <v>50</v>
      </c>
      <c r="C17" t="n">
        <v>20</v>
      </c>
      <c r="D17" s="20" t="n">
        <v>3.717863776596004</v>
      </c>
      <c r="E17" s="20" t="n">
        <v>4.295066494242561</v>
      </c>
      <c r="F17" s="21" t="n">
        <v>4295.066494242561</v>
      </c>
      <c r="G17" s="22" t="n">
        <v>0.1552511744190452</v>
      </c>
      <c r="H17" s="23" t="n">
        <v>0.09999999999999998</v>
      </c>
      <c r="I17" s="21" t="n">
        <v>-3412.351756878589</v>
      </c>
      <c r="J17" t="n">
        <v>19</v>
      </c>
    </row>
    <row r="18">
      <c r="A18" t="inlineStr">
        <is>
          <t>F</t>
        </is>
      </c>
      <c r="B18" t="n">
        <v>55</v>
      </c>
      <c r="C18" t="n">
        <v>20</v>
      </c>
      <c r="D18" s="20" t="n">
        <v>5.806571424879631</v>
      </c>
      <c r="E18" s="20" t="n">
        <v>6.359093539958407</v>
      </c>
      <c r="F18" s="21" t="n">
        <v>6359.093539958407</v>
      </c>
      <c r="G18" s="22" t="n">
        <v>0.095154623038195</v>
      </c>
      <c r="H18" s="23" t="n">
        <v>0.09999999999999998</v>
      </c>
      <c r="I18" s="21" t="n">
        <v>-4891.602956629506</v>
      </c>
      <c r="J18" t="n">
        <v>19</v>
      </c>
    </row>
    <row r="19">
      <c r="A19" t="inlineStr">
        <is>
          <t>F</t>
        </is>
      </c>
      <c r="B19" t="n">
        <v>60</v>
      </c>
      <c r="C19" t="n">
        <v>20</v>
      </c>
      <c r="D19" s="20" t="n">
        <v>9.437500685226194</v>
      </c>
      <c r="E19" s="20" t="n">
        <v>9.925462870156236</v>
      </c>
      <c r="F19" s="21" t="n">
        <v>9925.462870156236</v>
      </c>
      <c r="G19" s="22" t="n">
        <v>0.05170459862259036</v>
      </c>
      <c r="H19" s="23" t="n">
        <v>0.1000000000000002</v>
      </c>
      <c r="I19" s="21" t="n">
        <v>-7460.165630829354</v>
      </c>
      <c r="J19" t="n">
        <v>19</v>
      </c>
    </row>
    <row r="20">
      <c r="A20" t="inlineStr">
        <is>
          <t>M</t>
        </is>
      </c>
      <c r="B20" t="n">
        <v>25</v>
      </c>
      <c r="C20" t="n">
        <v>10</v>
      </c>
      <c r="D20" s="20" t="n">
        <v>0.6411187934615554</v>
      </c>
      <c r="E20" s="20" t="n">
        <v>1.256820212176436</v>
      </c>
      <c r="F20" s="21" t="n">
        <v>1256.820212176437</v>
      </c>
      <c r="G20" s="22" t="n">
        <v>0.9603546565692771</v>
      </c>
      <c r="H20" s="23" t="n">
        <v>0.09999999999999998</v>
      </c>
      <c r="I20" s="21" t="n">
        <v>-1220.897249531701</v>
      </c>
      <c r="J20" t="n">
        <v>0</v>
      </c>
    </row>
    <row r="21">
      <c r="A21" t="inlineStr">
        <is>
          <t>M</t>
        </is>
      </c>
      <c r="B21" t="n">
        <v>30</v>
      </c>
      <c r="C21" t="n">
        <v>10</v>
      </c>
      <c r="D21" s="20" t="n">
        <v>0.7730429141919822</v>
      </c>
      <c r="E21" s="20" t="n">
        <v>1.410584861244193</v>
      </c>
      <c r="F21" s="21" t="n">
        <v>1410.584861244193</v>
      </c>
      <c r="G21" s="22" t="n">
        <v>0.8247174061722005</v>
      </c>
      <c r="H21" s="23" t="n">
        <v>0.09999999999999998</v>
      </c>
      <c r="I21" s="21" t="n">
        <v>-1313.346995299499</v>
      </c>
      <c r="J21" t="n">
        <v>0</v>
      </c>
    </row>
    <row r="22">
      <c r="A22" t="inlineStr">
        <is>
          <t>M</t>
        </is>
      </c>
      <c r="B22" t="n">
        <v>35</v>
      </c>
      <c r="C22" t="n">
        <v>10</v>
      </c>
      <c r="D22" s="20" t="n">
        <v>0.9692497325887215</v>
      </c>
      <c r="E22" s="20" t="n">
        <v>1.639102896058654</v>
      </c>
      <c r="F22" s="21" t="n">
        <v>1639.102896058654</v>
      </c>
      <c r="G22" s="22" t="n">
        <v>0.6911048215415589</v>
      </c>
      <c r="H22" s="23" t="n">
        <v>0.09999999999999998</v>
      </c>
      <c r="I22" s="21" t="n">
        <v>-1450.914542268724</v>
      </c>
      <c r="J22" t="n">
        <v>0</v>
      </c>
    </row>
    <row r="23">
      <c r="A23" t="inlineStr">
        <is>
          <t>M</t>
        </is>
      </c>
      <c r="B23" t="n">
        <v>40</v>
      </c>
      <c r="C23" t="n">
        <v>10</v>
      </c>
      <c r="D23" s="20" t="n">
        <v>1.265600901991961</v>
      </c>
      <c r="E23" s="20" t="n">
        <v>1.983604562740368</v>
      </c>
      <c r="F23" s="21" t="n">
        <v>1983.604562740368</v>
      </c>
      <c r="G23" s="22" t="n">
        <v>0.5673223364635118</v>
      </c>
      <c r="H23" s="23" t="n">
        <v>0.09999999999999998</v>
      </c>
      <c r="I23" s="21" t="n">
        <v>-1658.423497164413</v>
      </c>
      <c r="J23" t="n">
        <v>0</v>
      </c>
    </row>
    <row r="24">
      <c r="A24" t="inlineStr">
        <is>
          <t>M</t>
        </is>
      </c>
      <c r="B24" t="n">
        <v>45</v>
      </c>
      <c r="C24" t="n">
        <v>10</v>
      </c>
      <c r="D24" s="20" t="n">
        <v>1.72371628935304</v>
      </c>
      <c r="E24" s="20" t="n">
        <v>2.514857603111321</v>
      </c>
      <c r="F24" s="21" t="n">
        <v>2514.857603111322</v>
      </c>
      <c r="G24" s="22" t="n">
        <v>0.4589742051200425</v>
      </c>
      <c r="H24" s="23" t="n">
        <v>0.1000000000000002</v>
      </c>
      <c r="I24" s="21" t="n">
        <v>-1978.681176608452</v>
      </c>
      <c r="J24" t="n">
        <v>10</v>
      </c>
    </row>
    <row r="25">
      <c r="A25" t="inlineStr">
        <is>
          <t>M</t>
        </is>
      </c>
      <c r="B25" t="n">
        <v>50</v>
      </c>
      <c r="C25" t="n">
        <v>10</v>
      </c>
      <c r="D25" s="20" t="n">
        <v>2.451587440152883</v>
      </c>
      <c r="E25" s="20" t="n">
        <v>3.35682076660231</v>
      </c>
      <c r="F25" s="21" t="n">
        <v>3356.82076660231</v>
      </c>
      <c r="G25" s="22" t="n">
        <v>0.3692437445319006</v>
      </c>
      <c r="H25" s="23" t="n">
        <v>0.1000000000000002</v>
      </c>
      <c r="I25" s="21" t="n">
        <v>-2486.575883372402</v>
      </c>
      <c r="J25" t="n">
        <v>10</v>
      </c>
    </row>
    <row r="26">
      <c r="A26" t="inlineStr">
        <is>
          <t>M</t>
        </is>
      </c>
      <c r="B26" t="n">
        <v>55</v>
      </c>
      <c r="C26" t="n">
        <v>10</v>
      </c>
      <c r="D26" s="20" t="n">
        <v>3.644270808820349</v>
      </c>
      <c r="E26" s="20" t="n">
        <v>4.732835639965171</v>
      </c>
      <c r="F26" s="21" t="n">
        <v>4732.835639965171</v>
      </c>
      <c r="G26" s="22" t="n">
        <v>0.2987058010371053</v>
      </c>
      <c r="H26" s="23" t="n">
        <v>0.1000000000000004</v>
      </c>
      <c r="I26" s="21" t="n">
        <v>-3317.070205153258</v>
      </c>
      <c r="J26" t="n">
        <v>10</v>
      </c>
    </row>
    <row r="27">
      <c r="A27" t="inlineStr">
        <is>
          <t>M</t>
        </is>
      </c>
      <c r="B27" t="n">
        <v>60</v>
      </c>
      <c r="C27" t="n">
        <v>10</v>
      </c>
      <c r="D27" s="20" t="n">
        <v>5.664374481550593</v>
      </c>
      <c r="E27" s="20" t="n">
        <v>7.058333616818309</v>
      </c>
      <c r="F27" s="21" t="n">
        <v>7058.333616818309</v>
      </c>
      <c r="G27" s="22" t="n">
        <v>0.2460923337268701</v>
      </c>
      <c r="H27" s="23" t="n">
        <v>0.09999999999999998</v>
      </c>
      <c r="I27" s="21" t="n">
        <v>-4720.381445708423</v>
      </c>
      <c r="J27" t="n">
        <v>0</v>
      </c>
    </row>
    <row r="28">
      <c r="A28" t="inlineStr">
        <is>
          <t>M</t>
        </is>
      </c>
      <c r="B28" t="n">
        <v>25</v>
      </c>
      <c r="C28" t="n">
        <v>20</v>
      </c>
      <c r="D28" s="20" t="n">
        <v>0.7727866216088701</v>
      </c>
      <c r="E28" s="20" t="n">
        <v>1.332051499305279</v>
      </c>
      <c r="F28" s="21" t="n">
        <v>1332.051499305279</v>
      </c>
      <c r="G28" s="22" t="n">
        <v>0.7236989643170473</v>
      </c>
      <c r="H28" s="23" t="n">
        <v>0.09999999999999998</v>
      </c>
      <c r="I28" s="21" t="n">
        <v>-1323.020778393534</v>
      </c>
      <c r="J28" t="n">
        <v>18</v>
      </c>
    </row>
    <row r="29">
      <c r="A29" t="inlineStr">
        <is>
          <t>M</t>
        </is>
      </c>
      <c r="B29" t="n">
        <v>30</v>
      </c>
      <c r="C29" t="n">
        <v>20</v>
      </c>
      <c r="D29" s="20" t="n">
        <v>0.9704507965177006</v>
      </c>
      <c r="E29" s="20" t="n">
        <v>1.535125008801051</v>
      </c>
      <c r="F29" s="21" t="n">
        <v>1535.125008801051</v>
      </c>
      <c r="G29" s="22" t="n">
        <v>0.5818679466383962</v>
      </c>
      <c r="H29" s="23" t="n">
        <v>0.09999999999999998</v>
      </c>
      <c r="I29" s="21" t="n">
        <v>-1463.375942446508</v>
      </c>
      <c r="J29" t="n">
        <v>19</v>
      </c>
    </row>
    <row r="30">
      <c r="A30" t="inlineStr">
        <is>
          <t>M</t>
        </is>
      </c>
      <c r="B30" t="n">
        <v>35</v>
      </c>
      <c r="C30" t="n">
        <v>20</v>
      </c>
      <c r="D30" s="20" t="n">
        <v>1.271071803405694</v>
      </c>
      <c r="E30" s="20" t="n">
        <v>1.8422581829959</v>
      </c>
      <c r="F30" s="21" t="n">
        <v>1842.2581829959</v>
      </c>
      <c r="G30" s="22" t="n">
        <v>0.4493738104014076</v>
      </c>
      <c r="H30" s="23" t="n">
        <v>0.1000000000000004</v>
      </c>
      <c r="I30" s="21" t="n">
        <v>-1676.952788195887</v>
      </c>
      <c r="J30" t="n">
        <v>19</v>
      </c>
    </row>
    <row r="31">
      <c r="A31" t="inlineStr">
        <is>
          <t>M</t>
        </is>
      </c>
      <c r="B31" t="n">
        <v>40</v>
      </c>
      <c r="C31" t="n">
        <v>20</v>
      </c>
      <c r="D31" s="20" t="n">
        <v>1.738703625770224</v>
      </c>
      <c r="E31" s="20" t="n">
        <v>2.316411919569197</v>
      </c>
      <c r="F31" s="21" t="n">
        <v>2316.411919569196</v>
      </c>
      <c r="G31" s="22" t="n">
        <v>0.3322638115182248</v>
      </c>
      <c r="H31" s="23" t="n">
        <v>0.1000000000000004</v>
      </c>
      <c r="I31" s="21" t="n">
        <v>-2008.965447126006</v>
      </c>
      <c r="J31" t="n">
        <v>19</v>
      </c>
    </row>
    <row r="32">
      <c r="A32" t="inlineStr">
        <is>
          <t>M</t>
        </is>
      </c>
      <c r="B32" t="n">
        <v>45</v>
      </c>
      <c r="C32" t="n">
        <v>20</v>
      </c>
      <c r="D32" s="20" t="n">
        <v>2.486373845089821</v>
      </c>
      <c r="E32" s="20" t="n">
        <v>3.068006545464719</v>
      </c>
      <c r="F32" s="21" t="n">
        <v>3068.006545464719</v>
      </c>
      <c r="G32" s="22" t="n">
        <v>0.2339280963413959</v>
      </c>
      <c r="H32" s="23" t="n">
        <v>0.09999999999999998</v>
      </c>
      <c r="I32" s="21" t="n">
        <v>-2539.39541283065</v>
      </c>
      <c r="J32" t="n">
        <v>19</v>
      </c>
    </row>
    <row r="33">
      <c r="A33" t="inlineStr">
        <is>
          <t>M</t>
        </is>
      </c>
      <c r="B33" t="n">
        <v>50</v>
      </c>
      <c r="C33" t="n">
        <v>20</v>
      </c>
      <c r="D33" s="20" t="n">
        <v>3.717863776596004</v>
      </c>
      <c r="E33" s="20" t="n">
        <v>4.295066494242561</v>
      </c>
      <c r="F33" s="21" t="n">
        <v>4295.066494242561</v>
      </c>
      <c r="G33" s="22" t="n">
        <v>0.1552511744190452</v>
      </c>
      <c r="H33" s="23" t="n">
        <v>0.09999999999999998</v>
      </c>
      <c r="I33" s="21" t="n">
        <v>-3412.351756878589</v>
      </c>
      <c r="J33" t="n">
        <v>19</v>
      </c>
    </row>
    <row r="34">
      <c r="A34" t="inlineStr">
        <is>
          <t>M</t>
        </is>
      </c>
      <c r="B34" t="n">
        <v>55</v>
      </c>
      <c r="C34" t="n">
        <v>20</v>
      </c>
      <c r="D34" s="20" t="n">
        <v>5.806571424879631</v>
      </c>
      <c r="E34" s="20" t="n">
        <v>6.359093539958407</v>
      </c>
      <c r="F34" s="21" t="n">
        <v>6359.093539958407</v>
      </c>
      <c r="G34" s="22" t="n">
        <v>0.095154623038195</v>
      </c>
      <c r="H34" s="23" t="n">
        <v>0.09999999999999998</v>
      </c>
      <c r="I34" s="21" t="n">
        <v>-4891.602956629506</v>
      </c>
      <c r="J34" t="n">
        <v>19</v>
      </c>
    </row>
    <row r="35">
      <c r="A35" t="inlineStr">
        <is>
          <t>M</t>
        </is>
      </c>
      <c r="B35" t="n">
        <v>60</v>
      </c>
      <c r="C35" t="n">
        <v>20</v>
      </c>
      <c r="D35" s="20" t="n">
        <v>9.437500685226194</v>
      </c>
      <c r="E35" s="20" t="n">
        <v>9.925462870156236</v>
      </c>
      <c r="F35" s="21" t="n">
        <v>9925.462870156236</v>
      </c>
      <c r="G35" s="22" t="n">
        <v>0.05170459862259036</v>
      </c>
      <c r="H35" s="23" t="n">
        <v>0.1000000000000002</v>
      </c>
      <c r="I35" s="21" t="n">
        <v>-7460.165630829354</v>
      </c>
      <c r="J35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1" customWidth="1" min="8" max="8"/>
  </cols>
  <sheetData>
    <row r="1">
      <c r="A1" s="19" t="inlineStr">
        <is>
          <t>Observed against expected deaths, both sexes; the central estimate is the median of four baselines.</t>
        </is>
      </c>
    </row>
    <row r="3">
      <c r="A3" s="15" t="inlineStr">
        <is>
          <t>Year</t>
        </is>
      </c>
      <c r="B3" s="15" t="inlineStr">
        <is>
          <t>Observed</t>
        </is>
      </c>
      <c r="C3" s="15" t="inlineStr">
        <is>
          <t>Expected</t>
        </is>
      </c>
      <c r="D3" s="15" t="inlineStr">
        <is>
          <t>Excess deaths</t>
        </is>
      </c>
      <c r="E3" s="15" t="inlineStr">
        <is>
          <t>Low</t>
        </is>
      </c>
      <c r="F3" s="15" t="inlineStr">
        <is>
          <t>High</t>
        </is>
      </c>
      <c r="G3" s="15" t="inlineStr">
        <is>
          <t>P-score</t>
        </is>
      </c>
      <c r="H3" s="15" t="inlineStr">
        <is>
          <t>Certified COVID-19</t>
        </is>
      </c>
    </row>
    <row r="4">
      <c r="A4" t="n">
        <v>2020</v>
      </c>
      <c r="B4" s="21" t="n">
        <v>1093072.912520337</v>
      </c>
      <c r="C4" s="21" t="n">
        <v>760624.5677696334</v>
      </c>
      <c r="D4" s="21" t="n">
        <v>332448.3447507039</v>
      </c>
      <c r="E4" s="21" t="n">
        <v>319970.043833093</v>
      </c>
      <c r="F4" s="21" t="n">
        <v>339894.0092540744</v>
      </c>
      <c r="G4" s="23" t="n">
        <v>0.4370728462341633</v>
      </c>
      <c r="H4" s="21" t="n">
        <v>201280</v>
      </c>
    </row>
    <row r="5">
      <c r="A5" t="n">
        <v>2021</v>
      </c>
      <c r="B5" s="21" t="n">
        <v>1117649.90139726</v>
      </c>
      <c r="C5" s="21" t="n">
        <v>766871.4465261304</v>
      </c>
      <c r="D5" s="21" t="n">
        <v>350778.4548711301</v>
      </c>
      <c r="E5" s="21" t="n">
        <v>327669.3278338029</v>
      </c>
      <c r="F5" s="21" t="n">
        <v>365700.0772549796</v>
      </c>
      <c r="G5" s="23" t="n">
        <v>0.4574149376145506</v>
      </c>
      <c r="H5" s="21" t="n">
        <v>238093</v>
      </c>
    </row>
    <row r="6">
      <c r="A6" t="n">
        <v>2022</v>
      </c>
      <c r="B6" s="21" t="n">
        <v>843756.8121360014</v>
      </c>
      <c r="C6" s="21" t="n">
        <v>780554.2398598866</v>
      </c>
      <c r="D6" s="21" t="n">
        <v>63202.57227611486</v>
      </c>
      <c r="E6" s="21" t="n">
        <v>28294.76403867528</v>
      </c>
      <c r="F6" s="21" t="n">
        <v>85731.66632589884</v>
      </c>
      <c r="G6" s="23" t="n">
        <v>0.08097140345744588</v>
      </c>
      <c r="H6" s="21" t="n">
        <v>38189</v>
      </c>
    </row>
    <row r="7">
      <c r="A7" t="n">
        <v>2023</v>
      </c>
      <c r="B7" s="21" t="n">
        <v>798055.2756559243</v>
      </c>
      <c r="C7" s="21" t="n">
        <v>802108.9781837324</v>
      </c>
      <c r="D7" s="21" t="n">
        <v>-4053.702527808005</v>
      </c>
      <c r="E7" s="21" t="n">
        <v>-51585.03973956211</v>
      </c>
      <c r="F7" s="21" t="n">
        <v>26370.7412797026</v>
      </c>
      <c r="G7" s="23" t="n">
        <v>-0.005053805203610946</v>
      </c>
      <c r="H7" s="21" t="n">
        <v>4625</v>
      </c>
    </row>
    <row r="8">
      <c r="A8" t="n">
        <v>2024</v>
      </c>
      <c r="B8" s="21" t="n">
        <v>814221.1576960535</v>
      </c>
      <c r="C8" s="21" t="n">
        <v>824304.7463069925</v>
      </c>
      <c r="D8" s="21" t="n">
        <v>-10083.58861093893</v>
      </c>
      <c r="E8" s="21" t="n">
        <v>-71058.5043362608</v>
      </c>
      <c r="F8" s="21" t="n">
        <v>28524.31828538399</v>
      </c>
      <c r="G8" s="23" t="n">
        <v>-0.01223284065282276</v>
      </c>
      <c r="H8" s="21" t="n">
        <v>1353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9" t="inlineStr">
        <is>
          <t>Reserve of an illustrative block of 20,000 pensioners (synthetic) on each mortality basis, annuity-due at 4%.</t>
        </is>
      </c>
    </row>
    <row r="3">
      <c r="A3" s="15" t="inlineStr">
        <is>
          <t>Basis</t>
        </is>
      </c>
      <c r="B3" s="15" t="inlineStr">
        <is>
          <t>Reserve men</t>
        </is>
      </c>
      <c r="C3" s="15" t="inlineStr">
        <is>
          <t>Reserve women</t>
        </is>
      </c>
      <c r="D3" s="15" t="inlineStr">
        <is>
          <t>Reserve total</t>
        </is>
      </c>
      <c r="E3" s="15" t="inlineStr">
        <is>
          <t>Against central</t>
        </is>
      </c>
    </row>
    <row r="4">
      <c r="A4" t="inlineStr">
        <is>
          <t>CNSF 2013, pensions variant</t>
        </is>
      </c>
      <c r="B4" s="21" t="n">
        <v>17391118174.50975</v>
      </c>
      <c r="C4" s="21" t="n">
        <v>11594078783.0065</v>
      </c>
      <c r="D4" s="21" t="n">
        <v>28985196957.51625</v>
      </c>
      <c r="E4" s="24" t="n">
        <v>0.1597768117364662</v>
      </c>
    </row>
    <row r="5">
      <c r="A5" t="inlineStr">
        <is>
          <t>CNSF 2013</t>
        </is>
      </c>
      <c r="B5" s="21" t="n">
        <v>16159397399.75412</v>
      </c>
      <c r="C5" s="21" t="n">
        <v>10772931599.83608</v>
      </c>
      <c r="D5" s="21" t="n">
        <v>26932328999.59019</v>
      </c>
      <c r="E5" s="24" t="n">
        <v>0.07763596381850713</v>
      </c>
    </row>
    <row r="6">
      <c r="A6" t="inlineStr">
        <is>
          <t>Mexican population 2023 (no improvement)</t>
        </is>
      </c>
      <c r="B6" s="21" t="n">
        <v>14299063752.73244</v>
      </c>
      <c r="C6" s="21" t="n">
        <v>9956075863.193735</v>
      </c>
      <c r="D6" s="21" t="n">
        <v>24255139615.92618</v>
      </c>
      <c r="E6" s="24" t="n">
        <v>-0.02948568770421656</v>
      </c>
    </row>
    <row r="7">
      <c r="A7" t="inlineStr">
        <is>
          <t>Projection with no improvement after 2025</t>
        </is>
      </c>
      <c r="B7" s="21" t="n">
        <v>14406511510.95873</v>
      </c>
      <c r="C7" s="21" t="n">
        <v>10030693207.91618</v>
      </c>
      <c r="D7" s="21" t="n">
        <v>24437204718.87491</v>
      </c>
      <c r="E7" s="24" t="n">
        <v>-0.02220076619977274</v>
      </c>
    </row>
    <row r="8">
      <c r="A8" t="inlineStr">
        <is>
          <t>Central projection (step 7)</t>
        </is>
      </c>
      <c r="B8" s="21" t="n">
        <v>14731562172.43563</v>
      </c>
      <c r="C8" s="21" t="n">
        <v>10260485145.8052</v>
      </c>
      <c r="D8" s="21" t="n">
        <v>24992047318.24083</v>
      </c>
      <c r="E8" s="24" t="n">
        <v>0</v>
      </c>
    </row>
    <row r="9">
      <c r="A9" t="inlineStr">
        <is>
          <t>Projection with double the improvement</t>
        </is>
      </c>
      <c r="B9" s="21" t="n">
        <v>15068611160.35253</v>
      </c>
      <c r="C9" s="21" t="n">
        <v>10497059900.87385</v>
      </c>
      <c r="D9" s="21" t="n">
        <v>25565671061.22639</v>
      </c>
      <c r="E9" s="24" t="n">
        <v>0.02295225099733589</v>
      </c>
    </row>
    <row r="10">
      <c r="A10" t="inlineStr">
        <is>
          <t>Central, mortality 20% lower for good</t>
        </is>
      </c>
      <c r="B10" s="21" t="n">
        <v>15655674942.48033</v>
      </c>
      <c r="C10" s="21" t="n">
        <v>10823278923.3379</v>
      </c>
      <c r="D10" s="21" t="n">
        <v>26478953865.81823</v>
      </c>
      <c r="E10" s="24" t="n">
        <v>0.05949518775487261</v>
      </c>
    </row>
    <row r="11">
      <c r="A11" t="inlineStr">
        <is>
          <t>Central, interest 1 point lower</t>
        </is>
      </c>
      <c r="B11" s="21" t="n">
        <v>15914139587.32223</v>
      </c>
      <c r="C11" s="21" t="n">
        <v>11114549125.8043</v>
      </c>
      <c r="D11" s="21" t="n">
        <v>27028688713.12653</v>
      </c>
      <c r="E11" s="24" t="n">
        <v>0.08149157885913683</v>
      </c>
    </row>
    <row r="12">
      <c r="A12" t="inlineStr">
        <is>
          <t>Central, interest 1 point higher</t>
        </is>
      </c>
      <c r="B12" s="21" t="n">
        <v>13708693428.68262</v>
      </c>
      <c r="C12" s="21" t="n">
        <v>9523994790.547644</v>
      </c>
      <c r="D12" s="21" t="n">
        <v>23232688219.23026</v>
      </c>
      <c r="E12" s="24" t="n">
        <v>-0.07039675768085119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29" customWidth="1" min="8" max="8"/>
  </cols>
  <sheetData>
    <row r="1">
      <c r="A1" s="19" t="inlineStr">
        <is>
          <t>Mexican population tables against regulatory and SOA tables, at 4%.</t>
        </is>
      </c>
    </row>
    <row r="3">
      <c r="A3" s="15" t="inlineStr">
        <is>
          <t>Source</t>
        </is>
      </c>
      <c r="B3" s="15" t="inlineStr">
        <is>
          <t>Table</t>
        </is>
      </c>
      <c r="C3" s="15" t="inlineStr">
        <is>
          <t>Sex</t>
        </is>
      </c>
      <c r="D3" s="15" t="inlineStr">
        <is>
          <t>e0</t>
        </is>
      </c>
      <c r="E3" s="15" t="inlineStr">
        <is>
          <t>e65</t>
        </is>
      </c>
      <c r="F3" s="15" t="inlineStr">
        <is>
          <t>Annuity at 65</t>
        </is>
      </c>
      <c r="G3" s="15" t="inlineStr">
        <is>
          <t>A(40)</t>
        </is>
      </c>
      <c r="H3" s="15" t="inlineStr">
        <is>
          <t>20-year term premium at 40</t>
        </is>
      </c>
    </row>
    <row r="4">
      <c r="A4" t="inlineStr">
        <is>
          <t>CNSF</t>
        </is>
      </c>
      <c r="B4" t="inlineStr">
        <is>
          <t>CNSF M 2013 (non-disabled lives, base)</t>
        </is>
      </c>
      <c r="C4" t="inlineStr">
        <is>
          <t>T</t>
        </is>
      </c>
      <c r="D4" s="25" t="n">
        <v>84.42114934145386</v>
      </c>
      <c r="E4" s="25" t="n">
        <v>22.80861065700718</v>
      </c>
      <c r="F4" s="26" t="n">
        <v>14.93944559624265</v>
      </c>
      <c r="G4" s="27" t="n">
        <v>0.1831286662027825</v>
      </c>
      <c r="H4" s="28" t="n">
        <v>0.001738703625770226</v>
      </c>
    </row>
    <row r="5">
      <c r="A5" t="inlineStr">
        <is>
          <t>CNSF</t>
        </is>
      </c>
      <c r="B5" t="inlineStr">
        <is>
          <t>CNSF M 2013 (p0.05 percentile)</t>
        </is>
      </c>
      <c r="C5" t="inlineStr">
        <is>
          <t>T</t>
        </is>
      </c>
      <c r="D5" s="25" t="n">
        <v>88.30840902253702</v>
      </c>
      <c r="E5" s="25" t="n">
        <v>25.74342921399069</v>
      </c>
      <c r="F5" s="26" t="n">
        <v>16.09865626886155</v>
      </c>
      <c r="G5" s="27" t="n">
        <v>0.1592938528612607</v>
      </c>
      <c r="H5" s="28" t="n">
        <v>0.001155766897546504</v>
      </c>
    </row>
    <row r="6">
      <c r="A6" t="inlineStr">
        <is>
          <t>CNSF</t>
        </is>
      </c>
      <c r="B6" t="inlineStr">
        <is>
          <t>CNSF M 2013 (p99.5 percentile)</t>
        </is>
      </c>
      <c r="C6" t="inlineStr">
        <is>
          <t>T</t>
        </is>
      </c>
      <c r="D6" s="25" t="n">
        <v>80.24923073268184</v>
      </c>
      <c r="E6" s="25" t="n">
        <v>19.92354871306458</v>
      </c>
      <c r="F6" s="26" t="n">
        <v>13.68287491374418</v>
      </c>
      <c r="G6" s="27" t="n">
        <v>0.2111416704884093</v>
      </c>
      <c r="H6" s="28" t="n">
        <v>0.002615022935385207</v>
      </c>
    </row>
    <row r="7">
      <c r="A7" t="inlineStr">
        <is>
          <t>HMD</t>
        </is>
      </c>
      <c r="B7" t="inlineStr">
        <is>
          <t>CAN 2019</t>
        </is>
      </c>
      <c r="C7" t="inlineStr">
        <is>
          <t>F</t>
        </is>
      </c>
      <c r="D7" s="25" t="n">
        <v>84.35521589042915</v>
      </c>
      <c r="E7" s="25" t="n">
        <v>22.39722684768351</v>
      </c>
      <c r="F7" s="26" t="n">
        <v>14.73508782582682</v>
      </c>
      <c r="G7" s="27" t="n">
        <v>0.1862914301340815</v>
      </c>
      <c r="H7" s="28" t="n">
        <v>0.001715403913361924</v>
      </c>
    </row>
    <row r="8">
      <c r="A8" t="inlineStr">
        <is>
          <t>HMD</t>
        </is>
      </c>
      <c r="B8" t="inlineStr">
        <is>
          <t>CAN 2019</t>
        </is>
      </c>
      <c r="C8" t="inlineStr">
        <is>
          <t>M</t>
        </is>
      </c>
      <c r="D8" s="25" t="n">
        <v>80.11973925481412</v>
      </c>
      <c r="E8" s="25" t="n">
        <v>19.6427482408141</v>
      </c>
      <c r="F8" s="26" t="n">
        <v>13.49154407310462</v>
      </c>
      <c r="G8" s="27" t="n">
        <v>0.2161616625736754</v>
      </c>
      <c r="H8" s="28" t="n">
        <v>0.002736922945440466</v>
      </c>
    </row>
    <row r="9">
      <c r="A9" t="inlineStr">
        <is>
          <t>HMD</t>
        </is>
      </c>
      <c r="B9" t="inlineStr">
        <is>
          <t>CAN 2019</t>
        </is>
      </c>
      <c r="C9" t="inlineStr">
        <is>
          <t>T</t>
        </is>
      </c>
      <c r="D9" s="25" t="n">
        <v>82.2523010354907</v>
      </c>
      <c r="E9" s="25" t="n">
        <v>21.08904389243635</v>
      </c>
      <c r="F9" s="26" t="n">
        <v>14.13964714363843</v>
      </c>
      <c r="G9" s="27" t="n">
        <v>0.2010315155353447</v>
      </c>
      <c r="H9" s="28" t="n">
        <v>0.002223406802065434</v>
      </c>
    </row>
    <row r="10">
      <c r="A10" t="inlineStr">
        <is>
          <t>HMD</t>
        </is>
      </c>
      <c r="B10" t="inlineStr">
        <is>
          <t>CHL 2019</t>
        </is>
      </c>
      <c r="C10" t="inlineStr">
        <is>
          <t>F</t>
        </is>
      </c>
      <c r="D10" s="25" t="n">
        <v>83.31459201061928</v>
      </c>
      <c r="E10" s="25" t="n">
        <v>21.75183141706314</v>
      </c>
      <c r="F10" s="26" t="n">
        <v>14.40209511651624</v>
      </c>
      <c r="G10" s="27" t="n">
        <v>0.1934593350602661</v>
      </c>
      <c r="H10" s="28" t="n">
        <v>0.001905494018176126</v>
      </c>
    </row>
    <row r="11">
      <c r="A11" t="inlineStr">
        <is>
          <t>HMD</t>
        </is>
      </c>
      <c r="B11" t="inlineStr">
        <is>
          <t>CHL 2019</t>
        </is>
      </c>
      <c r="C11" t="inlineStr">
        <is>
          <t>M</t>
        </is>
      </c>
      <c r="D11" s="25" t="n">
        <v>77.74864173385146</v>
      </c>
      <c r="E11" s="25" t="n">
        <v>18.45868269907236</v>
      </c>
      <c r="F11" s="26" t="n">
        <v>12.8693576831745</v>
      </c>
      <c r="G11" s="27" t="n">
        <v>0.2347908684345156</v>
      </c>
      <c r="H11" s="28" t="n">
        <v>0.003637293904417779</v>
      </c>
    </row>
    <row r="12">
      <c r="A12" t="inlineStr">
        <is>
          <t>HMD</t>
        </is>
      </c>
      <c r="B12" t="inlineStr">
        <is>
          <t>CHL 2019</t>
        </is>
      </c>
      <c r="C12" t="inlineStr">
        <is>
          <t>T</t>
        </is>
      </c>
      <c r="D12" s="25" t="n">
        <v>80.61117839955422</v>
      </c>
      <c r="E12" s="25" t="n">
        <v>20.25029475721878</v>
      </c>
      <c r="F12" s="26" t="n">
        <v>13.69857036382481</v>
      </c>
      <c r="G12" s="27" t="n">
        <v>0.2132990035701762</v>
      </c>
      <c r="H12" s="28" t="n">
        <v>0.002739435336611688</v>
      </c>
    </row>
    <row r="13">
      <c r="A13" t="inlineStr">
        <is>
          <t>HMD</t>
        </is>
      </c>
      <c r="B13" t="inlineStr">
        <is>
          <t>ESP 2019</t>
        </is>
      </c>
      <c r="C13" t="inlineStr">
        <is>
          <t>F</t>
        </is>
      </c>
      <c r="D13" s="25" t="n">
        <v>86.16003964797444</v>
      </c>
      <c r="E13" s="25" t="n">
        <v>23.34309090989381</v>
      </c>
      <c r="F13" s="26" t="n">
        <v>15.23686627312571</v>
      </c>
      <c r="G13" s="27" t="n">
        <v>0.1740014091475992</v>
      </c>
      <c r="H13" s="28" t="n">
        <v>0.001316168165979765</v>
      </c>
    </row>
    <row r="14">
      <c r="A14" t="inlineStr">
        <is>
          <t>HMD</t>
        </is>
      </c>
      <c r="B14" t="inlineStr">
        <is>
          <t>ESP 2019</t>
        </is>
      </c>
      <c r="C14" t="inlineStr">
        <is>
          <t>M</t>
        </is>
      </c>
      <c r="D14" s="25" t="n">
        <v>80.72547979550725</v>
      </c>
      <c r="E14" s="25" t="n">
        <v>19.3756591304504</v>
      </c>
      <c r="F14" s="26" t="n">
        <v>13.3708626992781</v>
      </c>
      <c r="G14" s="27" t="n">
        <v>0.2161509334034067</v>
      </c>
      <c r="H14" s="28" t="n">
        <v>0.002535342001798484</v>
      </c>
    </row>
    <row r="15">
      <c r="A15" t="inlineStr">
        <is>
          <t>HMD</t>
        </is>
      </c>
      <c r="B15" t="inlineStr">
        <is>
          <t>ESP 2019</t>
        </is>
      </c>
      <c r="C15" t="inlineStr">
        <is>
          <t>T</t>
        </is>
      </c>
      <c r="D15" s="25" t="n">
        <v>83.48991379385805</v>
      </c>
      <c r="E15" s="25" t="n">
        <v>21.47620876328155</v>
      </c>
      <c r="F15" s="26" t="n">
        <v>14.35439638075608</v>
      </c>
      <c r="G15" s="27" t="n">
        <v>0.1947310638931932</v>
      </c>
      <c r="H15" s="28" t="n">
        <v>0.001924361829026711</v>
      </c>
    </row>
    <row r="16">
      <c r="A16" t="inlineStr">
        <is>
          <t>HMD</t>
        </is>
      </c>
      <c r="B16" t="inlineStr">
        <is>
          <t>FRATNP 2019</t>
        </is>
      </c>
      <c r="C16" t="inlineStr">
        <is>
          <t>F</t>
        </is>
      </c>
      <c r="D16" s="25" t="n">
        <v>85.61399727960978</v>
      </c>
      <c r="E16" s="25" t="n">
        <v>23.4557922501436</v>
      </c>
      <c r="F16" s="26" t="n">
        <v>15.22960400969387</v>
      </c>
      <c r="G16" s="27" t="n">
        <v>0.1794093527670994</v>
      </c>
      <c r="H16" s="28" t="n">
        <v>0.001730715472834743</v>
      </c>
    </row>
    <row r="17">
      <c r="A17" t="inlineStr">
        <is>
          <t>HMD</t>
        </is>
      </c>
      <c r="B17" t="inlineStr">
        <is>
          <t>FRATNP 2019</t>
        </is>
      </c>
      <c r="C17" t="inlineStr">
        <is>
          <t>M</t>
        </is>
      </c>
      <c r="D17" s="25" t="n">
        <v>79.76795670116384</v>
      </c>
      <c r="E17" s="25" t="n">
        <v>19.57886446439375</v>
      </c>
      <c r="F17" s="26" t="n">
        <v>13.43595899522992</v>
      </c>
      <c r="G17" s="27" t="n">
        <v>0.2239761813371727</v>
      </c>
      <c r="H17" s="28" t="n">
        <v>0.003290178403449255</v>
      </c>
    </row>
    <row r="18">
      <c r="A18" t="inlineStr">
        <is>
          <t>HMD</t>
        </is>
      </c>
      <c r="B18" t="inlineStr">
        <is>
          <t>FRATNP 2019</t>
        </is>
      </c>
      <c r="C18" t="inlineStr">
        <is>
          <t>T</t>
        </is>
      </c>
      <c r="D18" s="25" t="n">
        <v>82.76081681201009</v>
      </c>
      <c r="E18" s="25" t="n">
        <v>21.66382118134426</v>
      </c>
      <c r="F18" s="26" t="n">
        <v>14.39311534963542</v>
      </c>
      <c r="G18" s="27" t="n">
        <v>0.2011588703109542</v>
      </c>
      <c r="H18" s="28" t="n">
        <v>0.002500045687306532</v>
      </c>
    </row>
    <row r="19">
      <c r="A19" t="inlineStr">
        <is>
          <t>HMD</t>
        </is>
      </c>
      <c r="B19" t="inlineStr">
        <is>
          <t>GBR_NP 2019</t>
        </is>
      </c>
      <c r="C19" t="inlineStr">
        <is>
          <t>F</t>
        </is>
      </c>
      <c r="D19" s="25" t="n">
        <v>83.21200400308072</v>
      </c>
      <c r="E19" s="25" t="n">
        <v>21.2601036602074</v>
      </c>
      <c r="F19" s="26" t="n">
        <v>14.27349498211529</v>
      </c>
      <c r="G19" s="27" t="n">
        <v>0.1956718416378223</v>
      </c>
      <c r="H19" s="28" t="n">
        <v>0.001953819429616344</v>
      </c>
    </row>
    <row r="20">
      <c r="A20" t="inlineStr">
        <is>
          <t>HMD</t>
        </is>
      </c>
      <c r="B20" t="inlineStr">
        <is>
          <t>GBR_NP 2019</t>
        </is>
      </c>
      <c r="C20" t="inlineStr">
        <is>
          <t>M</t>
        </is>
      </c>
      <c r="D20" s="25" t="n">
        <v>79.46985301531484</v>
      </c>
      <c r="E20" s="25" t="n">
        <v>18.85550348792855</v>
      </c>
      <c r="F20" s="26" t="n">
        <v>13.14112174633503</v>
      </c>
      <c r="G20" s="27" t="n">
        <v>0.2239919653304805</v>
      </c>
      <c r="H20" s="28" t="n">
        <v>0.003037856774781069</v>
      </c>
    </row>
    <row r="21">
      <c r="A21" t="inlineStr">
        <is>
          <t>HMD</t>
        </is>
      </c>
      <c r="B21" t="inlineStr">
        <is>
          <t>GBR_NP 2019</t>
        </is>
      </c>
      <c r="C21" t="inlineStr">
        <is>
          <t>T</t>
        </is>
      </c>
      <c r="D21" s="25" t="n">
        <v>81.36567830823662</v>
      </c>
      <c r="E21" s="25" t="n">
        <v>20.11194933910846</v>
      </c>
      <c r="F21" s="26" t="n">
        <v>13.72949626139037</v>
      </c>
      <c r="G21" s="27" t="n">
        <v>0.2096380869154273</v>
      </c>
      <c r="H21" s="28" t="n">
        <v>0.002488948260712227</v>
      </c>
    </row>
    <row r="22">
      <c r="A22" t="inlineStr">
        <is>
          <t>HMD</t>
        </is>
      </c>
      <c r="B22" t="inlineStr">
        <is>
          <t>ITA 2019</t>
        </is>
      </c>
      <c r="C22" t="inlineStr">
        <is>
          <t>F</t>
        </is>
      </c>
      <c r="D22" s="25" t="n">
        <v>85.40318393840333</v>
      </c>
      <c r="E22" s="25" t="n">
        <v>22.53431566739491</v>
      </c>
      <c r="F22" s="26" t="n">
        <v>14.89032514404721</v>
      </c>
      <c r="G22" s="27" t="n">
        <v>0.1789155947906685</v>
      </c>
      <c r="H22" s="28" t="n">
        <v>0.001314706212893447</v>
      </c>
    </row>
    <row r="23">
      <c r="A23" t="inlineStr">
        <is>
          <t>HMD</t>
        </is>
      </c>
      <c r="B23" t="inlineStr">
        <is>
          <t>ITA 2019</t>
        </is>
      </c>
      <c r="C23" t="inlineStr">
        <is>
          <t>M</t>
        </is>
      </c>
      <c r="D23" s="25" t="n">
        <v>81.1401114420628</v>
      </c>
      <c r="E23" s="25" t="n">
        <v>19.41301544266113</v>
      </c>
      <c r="F23" s="26" t="n">
        <v>13.43882879640701</v>
      </c>
      <c r="G23" s="27" t="n">
        <v>0.2105216195134605</v>
      </c>
      <c r="H23" s="28" t="n">
        <v>0.002187824666271535</v>
      </c>
    </row>
    <row r="24">
      <c r="A24" t="inlineStr">
        <is>
          <t>HMD</t>
        </is>
      </c>
      <c r="B24" t="inlineStr">
        <is>
          <t>ITA 2019</t>
        </is>
      </c>
      <c r="C24" t="inlineStr">
        <is>
          <t>T</t>
        </is>
      </c>
      <c r="D24" s="25" t="n">
        <v>83.34671331252228</v>
      </c>
      <c r="E24" s="25" t="n">
        <v>21.08807389284277</v>
      </c>
      <c r="F24" s="26" t="n">
        <v>14.21205308771422</v>
      </c>
      <c r="G24" s="27" t="n">
        <v>0.1941833699077611</v>
      </c>
      <c r="H24" s="28" t="n">
        <v>0.001745847186480966</v>
      </c>
    </row>
    <row r="25">
      <c r="A25" t="inlineStr">
        <is>
          <t>HMD</t>
        </is>
      </c>
      <c r="B25" t="inlineStr">
        <is>
          <t>JPN 2019</t>
        </is>
      </c>
      <c r="C25" t="inlineStr">
        <is>
          <t>F</t>
        </is>
      </c>
      <c r="D25" s="25" t="n">
        <v>87.44794753162336</v>
      </c>
      <c r="E25" s="25" t="n">
        <v>24.62699712346079</v>
      </c>
      <c r="F25" s="26" t="n">
        <v>15.72520036832188</v>
      </c>
      <c r="G25" s="27" t="n">
        <v>0.1659077984045292</v>
      </c>
      <c r="H25" s="28" t="n">
        <v>0.001265724975567047</v>
      </c>
    </row>
    <row r="26">
      <c r="A26" t="inlineStr">
        <is>
          <t>HMD</t>
        </is>
      </c>
      <c r="B26" t="inlineStr">
        <is>
          <t>JPN 2019</t>
        </is>
      </c>
      <c r="C26" t="inlineStr">
        <is>
          <t>M</t>
        </is>
      </c>
      <c r="D26" s="25" t="n">
        <v>81.36198828748263</v>
      </c>
      <c r="E26" s="25" t="n">
        <v>19.77790297194745</v>
      </c>
      <c r="F26" s="26" t="n">
        <v>13.56382181132487</v>
      </c>
      <c r="G26" s="27" t="n">
        <v>0.209867586037325</v>
      </c>
      <c r="H26" s="28" t="n">
        <v>0.002268050048240656</v>
      </c>
    </row>
    <row r="27">
      <c r="A27" t="inlineStr">
        <is>
          <t>HMD</t>
        </is>
      </c>
      <c r="B27" t="inlineStr">
        <is>
          <t>JPN 2019</t>
        </is>
      </c>
      <c r="C27" t="inlineStr">
        <is>
          <t>T</t>
        </is>
      </c>
      <c r="D27" s="25" t="n">
        <v>84.46159853431827</v>
      </c>
      <c r="E27" s="25" t="n">
        <v>22.33747795425884</v>
      </c>
      <c r="F27" s="26" t="n">
        <v>14.69668955992871</v>
      </c>
      <c r="G27" s="27" t="n">
        <v>0.1876091480529407</v>
      </c>
      <c r="H27" s="28" t="n">
        <v>0.001771901951979827</v>
      </c>
    </row>
    <row r="28">
      <c r="A28" t="inlineStr">
        <is>
          <t>HMD</t>
        </is>
      </c>
      <c r="B28" t="inlineStr">
        <is>
          <t>SWE 2019</t>
        </is>
      </c>
      <c r="C28" t="inlineStr">
        <is>
          <t>F</t>
        </is>
      </c>
      <c r="D28" s="25" t="n">
        <v>84.72905087295328</v>
      </c>
      <c r="E28" s="25" t="n">
        <v>21.99159854433433</v>
      </c>
      <c r="F28" s="26" t="n">
        <v>14.62910771827165</v>
      </c>
      <c r="G28" s="27" t="n">
        <v>0.1829047826574909</v>
      </c>
      <c r="H28" s="28" t="n">
        <v>0.001302984411804115</v>
      </c>
    </row>
    <row r="29">
      <c r="A29" t="inlineStr">
        <is>
          <t>HMD</t>
        </is>
      </c>
      <c r="B29" t="inlineStr">
        <is>
          <t>SWE 2019</t>
        </is>
      </c>
      <c r="C29" t="inlineStr">
        <is>
          <t>M</t>
        </is>
      </c>
      <c r="D29" s="25" t="n">
        <v>81.34806793761098</v>
      </c>
      <c r="E29" s="25" t="n">
        <v>19.51940361997516</v>
      </c>
      <c r="F29" s="26" t="n">
        <v>13.49770732325519</v>
      </c>
      <c r="G29" s="27" t="n">
        <v>0.2064461550506645</v>
      </c>
      <c r="H29" s="28" t="n">
        <v>0.001891706143946203</v>
      </c>
    </row>
    <row r="30">
      <c r="A30" t="inlineStr">
        <is>
          <t>HMD</t>
        </is>
      </c>
      <c r="B30" t="inlineStr">
        <is>
          <t>SWE 2019</t>
        </is>
      </c>
      <c r="C30" t="inlineStr">
        <is>
          <t>T</t>
        </is>
      </c>
      <c r="D30" s="25" t="n">
        <v>83.05262158865739</v>
      </c>
      <c r="E30" s="25" t="n">
        <v>20.80725643360263</v>
      </c>
      <c r="F30" s="26" t="n">
        <v>14.08199133962015</v>
      </c>
      <c r="G30" s="27" t="n">
        <v>0.1945938174210646</v>
      </c>
      <c r="H30" s="28" t="n">
        <v>0.001602679004279542</v>
      </c>
    </row>
    <row r="31">
      <c r="A31" t="inlineStr">
        <is>
          <t>HMD</t>
        </is>
      </c>
      <c r="B31" t="inlineStr">
        <is>
          <t>USA 2019</t>
        </is>
      </c>
      <c r="C31" t="inlineStr">
        <is>
          <t>F</t>
        </is>
      </c>
      <c r="D31" s="25" t="n">
        <v>81.61127446707962</v>
      </c>
      <c r="E31" s="25" t="n">
        <v>21.04007471217491</v>
      </c>
      <c r="F31" s="26" t="n">
        <v>14.1124920476426</v>
      </c>
      <c r="G31" s="27" t="n">
        <v>0.2074550120004839</v>
      </c>
      <c r="H31" s="28" t="n">
        <v>0.00275079468032321</v>
      </c>
    </row>
    <row r="32">
      <c r="A32" t="inlineStr">
        <is>
          <t>HMD</t>
        </is>
      </c>
      <c r="B32" t="inlineStr">
        <is>
          <t>USA 2019</t>
        </is>
      </c>
      <c r="C32" t="inlineStr">
        <is>
          <t>M</t>
        </is>
      </c>
      <c r="D32" s="25" t="n">
        <v>76.53435810611246</v>
      </c>
      <c r="E32" s="25" t="n">
        <v>18.47231644598975</v>
      </c>
      <c r="F32" s="26" t="n">
        <v>12.87561263607618</v>
      </c>
      <c r="G32" s="27" t="n">
        <v>0.2454918553504435</v>
      </c>
      <c r="H32" s="28" t="n">
        <v>0.004619392220580261</v>
      </c>
    </row>
    <row r="33">
      <c r="A33" t="inlineStr">
        <is>
          <t>HMD</t>
        </is>
      </c>
      <c r="B33" t="inlineStr">
        <is>
          <t>USA 2019</t>
        </is>
      </c>
      <c r="C33" t="inlineStr">
        <is>
          <t>T</t>
        </is>
      </c>
      <c r="D33" s="25" t="n">
        <v>79.08131954801303</v>
      </c>
      <c r="E33" s="25" t="n">
        <v>19.83716252206084</v>
      </c>
      <c r="F33" s="26" t="n">
        <v>13.52982642806551</v>
      </c>
      <c r="G33" s="27" t="n">
        <v>0.2261839822635184</v>
      </c>
      <c r="H33" s="28" t="n">
        <v>0.003671026138957789</v>
      </c>
    </row>
    <row r="34">
      <c r="A34" t="inlineStr">
        <is>
          <t>INEGI/CONAPO</t>
        </is>
      </c>
      <c r="B34" t="inlineStr">
        <is>
          <t>Mexico, graduated 2023</t>
        </is>
      </c>
      <c r="C34" t="inlineStr">
        <is>
          <t>F</t>
        </is>
      </c>
      <c r="D34" s="25" t="n">
        <v>78.89691320681405</v>
      </c>
      <c r="E34" s="25" t="n">
        <v>19.19477976949734</v>
      </c>
      <c r="F34" s="26" t="n">
        <v>13.20702930591376</v>
      </c>
      <c r="G34" s="27" t="n">
        <v>0.2263829897211202</v>
      </c>
      <c r="H34" s="28" t="n">
        <v>0.00327025650147222</v>
      </c>
    </row>
    <row r="35">
      <c r="A35" t="inlineStr">
        <is>
          <t>INEGI/CONAPO</t>
        </is>
      </c>
      <c r="B35" t="inlineStr">
        <is>
          <t>Mexico, graduated 2023</t>
        </is>
      </c>
      <c r="C35" t="inlineStr">
        <is>
          <t>M</t>
        </is>
      </c>
      <c r="D35" s="25" t="n">
        <v>72.88605064939549</v>
      </c>
      <c r="E35" s="25" t="n">
        <v>17.32569067528859</v>
      </c>
      <c r="F35" s="26" t="n">
        <v>12.21446628326053</v>
      </c>
      <c r="G35" s="27" t="n">
        <v>0.27372036286259</v>
      </c>
      <c r="H35" s="28" t="n">
        <v>0.006618825441882756</v>
      </c>
    </row>
    <row r="36">
      <c r="A36" t="inlineStr">
        <is>
          <t>INEGI/CONAPO</t>
        </is>
      </c>
      <c r="B36" t="inlineStr">
        <is>
          <t>Mexico, graduated 2023</t>
        </is>
      </c>
      <c r="C36" t="inlineStr">
        <is>
          <t>T</t>
        </is>
      </c>
      <c r="D36" s="25" t="n">
        <v>75.87826075282445</v>
      </c>
      <c r="E36" s="25" t="n">
        <v>18.29513387207604</v>
      </c>
      <c r="F36" s="26" t="n">
        <v>12.73325649024597</v>
      </c>
      <c r="G36" s="27" t="n">
        <v>0.2492121933424285</v>
      </c>
      <c r="H36" s="28" t="n">
        <v>0.004833207232082026</v>
      </c>
    </row>
    <row r="37">
      <c r="A37" t="inlineStr">
        <is>
          <t>SOA</t>
        </is>
      </c>
      <c r="B37" t="inlineStr">
        <is>
          <t>CNSF 2000-G group life (1991-1998)</t>
        </is>
      </c>
      <c r="C37" t="inlineStr">
        <is>
          <t>T</t>
        </is>
      </c>
      <c r="D37" s="25" t="n"/>
      <c r="E37" s="25" t="n">
        <v>14.50412282893477</v>
      </c>
      <c r="F37" s="26" t="n">
        <v>10.98612473509996</v>
      </c>
      <c r="G37" s="27" t="n">
        <v>0.2709158291833467</v>
      </c>
      <c r="H37" s="28" t="n">
        <v>0.004756605932141112</v>
      </c>
    </row>
    <row r="38">
      <c r="A38" t="inlineStr">
        <is>
          <t>SOA</t>
        </is>
      </c>
      <c r="B38" t="inlineStr">
        <is>
          <t>CNSF 2000-I individual insured lives (1991-1998)</t>
        </is>
      </c>
      <c r="C38" t="inlineStr">
        <is>
          <t>T</t>
        </is>
      </c>
      <c r="D38" s="25" t="n"/>
      <c r="E38" s="25" t="n">
        <v>17.69660988068374</v>
      </c>
      <c r="F38" s="26" t="n">
        <v>12.34966186552731</v>
      </c>
      <c r="G38" s="27" t="n">
        <v>0.2668669573951056</v>
      </c>
      <c r="H38" s="28" t="n">
        <v>0.006016793542180556</v>
      </c>
    </row>
    <row r="39">
      <c r="A39" t="inlineStr">
        <is>
          <t>SOA</t>
        </is>
      </c>
      <c r="B39" t="inlineStr">
        <is>
          <t>EMSSA 97 pension participants (H)</t>
        </is>
      </c>
      <c r="C39" t="inlineStr">
        <is>
          <t>M</t>
        </is>
      </c>
      <c r="D39" s="25" t="n"/>
      <c r="E39" s="25" t="n">
        <v>16.48722844858059</v>
      </c>
      <c r="F39" s="26" t="n">
        <v>11.93109923200892</v>
      </c>
      <c r="G39" s="27" t="n">
        <v>0.2568115682925483</v>
      </c>
      <c r="H39" s="28" t="n">
        <v>0.004576902795142543</v>
      </c>
    </row>
    <row r="40">
      <c r="A40" t="inlineStr">
        <is>
          <t>SOA</t>
        </is>
      </c>
      <c r="B40" t="inlineStr">
        <is>
          <t>EMSSA 97 pension participants (M)</t>
        </is>
      </c>
      <c r="C40" t="inlineStr">
        <is>
          <t>F</t>
        </is>
      </c>
      <c r="D40" s="25" t="n"/>
      <c r="E40" s="25" t="n">
        <v>19.86996689866791</v>
      </c>
      <c r="F40" s="26" t="n">
        <v>13.53306305747248</v>
      </c>
      <c r="G40" s="27" t="n">
        <v>0.2112773672546046</v>
      </c>
      <c r="H40" s="28" t="n">
        <v>0.00234263155104898</v>
      </c>
    </row>
    <row r="41">
      <c r="A41" t="inlineStr">
        <is>
          <t>SOA</t>
        </is>
      </c>
      <c r="B41" t="inlineStr">
        <is>
          <t>Experiencia Mexicana individual (1982-1989)</t>
        </is>
      </c>
      <c r="C41" t="inlineStr">
        <is>
          <t>T</t>
        </is>
      </c>
      <c r="D41" s="25" t="n"/>
      <c r="E41" s="25" t="n">
        <v>15.55037270676275</v>
      </c>
      <c r="F41" s="26" t="n">
        <v>11.38379217683857</v>
      </c>
      <c r="G41" s="27" t="n">
        <v>0.2811739819606888</v>
      </c>
      <c r="H41" s="28" t="n">
        <v>0.006253758227200443</v>
      </c>
    </row>
    <row r="42">
      <c r="A42" t="inlineStr">
        <is>
          <t>SOA</t>
        </is>
      </c>
      <c r="B42" t="inlineStr">
        <is>
          <t>MEX 2000 female</t>
        </is>
      </c>
      <c r="C42" t="inlineStr">
        <is>
          <t>F</t>
        </is>
      </c>
      <c r="D42" s="25" t="n">
        <v>78.47519606321099</v>
      </c>
      <c r="E42" s="25" t="n">
        <v>18.14882397196417</v>
      </c>
      <c r="F42" s="26" t="n">
        <v>12.81523654271774</v>
      </c>
      <c r="G42" s="27" t="n">
        <v>0.2274409456273338</v>
      </c>
      <c r="H42" s="28" t="n">
        <v>0.003007917146545842</v>
      </c>
    </row>
    <row r="43">
      <c r="A43" t="inlineStr">
        <is>
          <t>SOA</t>
        </is>
      </c>
      <c r="B43" t="inlineStr">
        <is>
          <t>MEX 2000 male</t>
        </is>
      </c>
      <c r="C43" t="inlineStr">
        <is>
          <t>M</t>
        </is>
      </c>
      <c r="D43" s="25" t="n">
        <v>74.7683315624174</v>
      </c>
      <c r="E43" s="25" t="n">
        <v>16.00794946367441</v>
      </c>
      <c r="F43" s="26" t="n">
        <v>11.6812436629226</v>
      </c>
      <c r="G43" s="27" t="n">
        <v>0.2569906901670199</v>
      </c>
      <c r="H43" s="28" t="n">
        <v>0.003900402150964832</v>
      </c>
    </row>
    <row r="44">
      <c r="A44" t="inlineStr">
        <is>
          <t>SOA</t>
        </is>
      </c>
      <c r="B44" t="inlineStr">
        <is>
          <t>Seguro Popular 2008 females</t>
        </is>
      </c>
      <c r="C44" t="inlineStr">
        <is>
          <t>F</t>
        </is>
      </c>
      <c r="D44" s="25" t="n"/>
      <c r="E44" s="25" t="n">
        <v>16.4414111364525</v>
      </c>
      <c r="F44" s="26" t="n">
        <v>11.91860685139881</v>
      </c>
      <c r="G44" s="27" t="n">
        <v>0.2568934401382129</v>
      </c>
      <c r="H44" s="28" t="n">
        <v>0.004492623176667375</v>
      </c>
    </row>
    <row r="45">
      <c r="A45" t="inlineStr">
        <is>
          <t>SOA</t>
        </is>
      </c>
      <c r="B45" t="inlineStr">
        <is>
          <t>Seguro Popular 2008 males</t>
        </is>
      </c>
      <c r="C45" t="inlineStr">
        <is>
          <t>M</t>
        </is>
      </c>
      <c r="D45" s="25" t="n"/>
      <c r="E45" s="25" t="n">
        <v>14.56651379185848</v>
      </c>
      <c r="F45" s="26" t="n">
        <v>10.88300965726196</v>
      </c>
      <c r="G45" s="27" t="n">
        <v>0.3156662277738307</v>
      </c>
      <c r="H45" s="28" t="n">
        <v>0.009484349799491055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2026-10-21T22:18:07Z</dcterms:created>
  <dcterms:modified xsi:type="dcterms:W3CDTF">2026-10-21T22:18:07Z</dcterms:modified>
</cp:coreProperties>
</file>